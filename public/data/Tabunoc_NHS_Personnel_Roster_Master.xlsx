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tabunoc-nhs-website\public\data\"/>
    </mc:Choice>
  </mc:AlternateContent>
  <xr:revisionPtr revIDLastSave="0" documentId="13_ncr:1_{A37C7BDA-DA1C-4B71-ABE9-1240B01A5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sonnel" sheetId="1" r:id="rId1"/>
    <sheet name="Dropdown_Lists" sheetId="2" r:id="rId2"/>
    <sheet name="Gui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2" i="1" l="1"/>
  <c r="V69" i="1"/>
  <c r="V70" i="1"/>
  <c r="V67" i="1"/>
  <c r="V68" i="1"/>
  <c r="E67" i="1"/>
  <c r="G67" i="1" s="1"/>
  <c r="E62" i="1"/>
  <c r="G6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3" i="1"/>
  <c r="V64" i="1"/>
  <c r="V65" i="1"/>
  <c r="V66" i="1"/>
  <c r="V2" i="1"/>
  <c r="E5" i="1"/>
  <c r="G5" i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2" i="1"/>
  <c r="G2" i="1" s="1"/>
  <c r="E3" i="1"/>
  <c r="G3" i="1" s="1"/>
  <c r="E4" i="1"/>
  <c r="G4" i="1" s="1"/>
  <c r="E38" i="1"/>
  <c r="G38" i="1" s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3" i="1"/>
  <c r="G63" i="1" s="1"/>
  <c r="E64" i="1"/>
  <c r="G64" i="1" s="1"/>
  <c r="E65" i="1"/>
  <c r="G65" i="1" s="1"/>
  <c r="E66" i="1"/>
  <c r="G66" i="1" s="1"/>
  <c r="E68" i="1"/>
  <c r="G68" i="1" s="1"/>
  <c r="E69" i="1"/>
  <c r="G69" i="1" s="1"/>
  <c r="E70" i="1"/>
  <c r="G70" i="1" s="1"/>
  <c r="E71" i="1"/>
</calcChain>
</file>

<file path=xl/sharedStrings.xml><?xml version="1.0" encoding="utf-8"?>
<sst xmlns="http://schemas.openxmlformats.org/spreadsheetml/2006/main" count="850" uniqueCount="393">
  <si>
    <t>order</t>
  </si>
  <si>
    <t>position</t>
  </si>
  <si>
    <t>category</t>
  </si>
  <si>
    <t>department</t>
  </si>
  <si>
    <t>subjectArea</t>
  </si>
  <si>
    <t>photoUrl</t>
  </si>
  <si>
    <t>status</t>
  </si>
  <si>
    <t>Administration</t>
  </si>
  <si>
    <t>/personnel/placeholder.jpg</t>
  </si>
  <si>
    <t>Active</t>
  </si>
  <si>
    <t>Master Teacher I</t>
  </si>
  <si>
    <t>Instructional Leadership</t>
  </si>
  <si>
    <t>Teacher I</t>
  </si>
  <si>
    <t>Teaching Personnel</t>
  </si>
  <si>
    <t>Senior High School</t>
  </si>
  <si>
    <t>Electrical Installation and Maintenance</t>
  </si>
  <si>
    <t>Teacher III</t>
  </si>
  <si>
    <t>Junior High School</t>
  </si>
  <si>
    <t>Hidden</t>
  </si>
  <si>
    <t>photoUrl examples</t>
  </si>
  <si>
    <t>/personnel/richie-mabunay.jpg</t>
  </si>
  <si>
    <t>Non-Teaching Personnel</t>
  </si>
  <si>
    <t>Transferred</t>
  </si>
  <si>
    <t>/personnel/sample-photo.jpg</t>
  </si>
  <si>
    <t>Retired</t>
  </si>
  <si>
    <t>Tabunoc National High School - Personnel Roster Master File</t>
  </si>
  <si>
    <t>Purpose</t>
  </si>
  <si>
    <t>Use this Excel file as the master roster source for the Organization page. Edit personnel here, then export the Personnel_Roster sheet as CSV UTF-8.</t>
  </si>
  <si>
    <t>Website CSV path</t>
  </si>
  <si>
    <t>C:\Projects\tabunoc-nhs-website\public\data\personnel.csv</t>
  </si>
  <si>
    <t>Required headers</t>
  </si>
  <si>
    <t>order,name,position,category,department,subjectArea,photoUrl,status</t>
  </si>
  <si>
    <t>How to update</t>
  </si>
  <si>
    <t>1. Add or edit personnel rows in the Personnel_Roster sheet.</t>
  </si>
  <si>
    <t>2. Use status = Active for personnel to display on the website.</t>
  </si>
  <si>
    <t>3. Use status = Hidden/Transferred/Retired to keep a row in the file but hide it from the website.</t>
  </si>
  <si>
    <t>4. Save the master Excel file separately.</t>
  </si>
  <si>
    <t>5. Export or Save As the Personnel_Roster sheet as CSV UTF-8 (Comma delimited).</t>
  </si>
  <si>
    <t>6. Replace public/data/personnel.csv in the website project.</t>
  </si>
  <si>
    <t>7. Run npm run build, then deploy through Git.</t>
  </si>
  <si>
    <t>Photo guide</t>
  </si>
  <si>
    <t>Put photos in public/personnel and use paths like /personnel/richie-mabunay.jpg.</t>
  </si>
  <si>
    <t>If no photo is available, use /personnel/placeholder.jpg.</t>
  </si>
  <si>
    <t>Data privacy reminder</t>
  </si>
  <si>
    <t>For the public website, include only public-safe information: name, position, department, subject area/assignment, public role, approved photo, and status.</t>
  </si>
  <si>
    <t>Do not include phone numbers, birthdays, home addresses, personal emails, IDs, civil status, or other private information.</t>
  </si>
  <si>
    <t>lastName</t>
  </si>
  <si>
    <t>firstName</t>
  </si>
  <si>
    <t>middleName</t>
  </si>
  <si>
    <t>middleInitial</t>
  </si>
  <si>
    <t>suffix</t>
  </si>
  <si>
    <t>displayName</t>
  </si>
  <si>
    <t>Abad</t>
  </si>
  <si>
    <t>Paz</t>
  </si>
  <si>
    <t>Villegas</t>
  </si>
  <si>
    <t>Jr.</t>
  </si>
  <si>
    <t>Abalo</t>
  </si>
  <si>
    <t>Marissa</t>
  </si>
  <si>
    <t>Gabasa</t>
  </si>
  <si>
    <t>Allosada</t>
  </si>
  <si>
    <t>Joseph</t>
  </si>
  <si>
    <t>Cardosa</t>
  </si>
  <si>
    <t>Alsa</t>
  </si>
  <si>
    <t>Sharon Gay</t>
  </si>
  <si>
    <t>Bacallan</t>
  </si>
  <si>
    <t>Andrade</t>
  </si>
  <si>
    <t>Lonier</t>
  </si>
  <si>
    <t>Cecilio</t>
  </si>
  <si>
    <t>Aparicio</t>
  </si>
  <si>
    <t>Allan Raul</t>
  </si>
  <si>
    <t>Reales</t>
  </si>
  <si>
    <t>Alinsonorin</t>
  </si>
  <si>
    <t>Tabora</t>
  </si>
  <si>
    <t>Tañeca</t>
  </si>
  <si>
    <t>Potoy</t>
  </si>
  <si>
    <t>Cañete</t>
  </si>
  <si>
    <t>Labajo</t>
  </si>
  <si>
    <t>Prajes</t>
  </si>
  <si>
    <t>Legaspo</t>
  </si>
  <si>
    <t>Gaabon</t>
  </si>
  <si>
    <t>Abellana</t>
  </si>
  <si>
    <t>Miñoza</t>
  </si>
  <si>
    <t>Relatores</t>
  </si>
  <si>
    <t>Abacajan</t>
  </si>
  <si>
    <t>Lavisores</t>
  </si>
  <si>
    <t>Bentic</t>
  </si>
  <si>
    <t>Canoy</t>
  </si>
  <si>
    <t>Labiaga</t>
  </si>
  <si>
    <t>Go</t>
  </si>
  <si>
    <t>Comcom</t>
  </si>
  <si>
    <t>Lasquite</t>
  </si>
  <si>
    <t>Rosales</t>
  </si>
  <si>
    <t>Contorno</t>
  </si>
  <si>
    <t>Azucenas</t>
  </si>
  <si>
    <t>Bacarisas</t>
  </si>
  <si>
    <t>Dulcero</t>
  </si>
  <si>
    <t>Dondoyano</t>
  </si>
  <si>
    <t>Tenebro</t>
  </si>
  <si>
    <t>Hermosa</t>
  </si>
  <si>
    <t>Bungay</t>
  </si>
  <si>
    <t>Mier</t>
  </si>
  <si>
    <t>Cabalquinto</t>
  </si>
  <si>
    <t>Ayos</t>
  </si>
  <si>
    <t>Niña Kristine</t>
  </si>
  <si>
    <t>Briones</t>
  </si>
  <si>
    <t>Capa</t>
  </si>
  <si>
    <t>Barangan</t>
  </si>
  <si>
    <t>Glenn</t>
  </si>
  <si>
    <t>Barcenas</t>
  </si>
  <si>
    <t>Barroca</t>
  </si>
  <si>
    <t>Batuigas</t>
  </si>
  <si>
    <t>Bawiga</t>
  </si>
  <si>
    <t>Bohol</t>
  </si>
  <si>
    <t>Bongas</t>
  </si>
  <si>
    <t>Broñola</t>
  </si>
  <si>
    <t>Cabalda</t>
  </si>
  <si>
    <t>Cabunag</t>
  </si>
  <si>
    <t>Cabanca</t>
  </si>
  <si>
    <t>Caberte</t>
  </si>
  <si>
    <t>Cabriana</t>
  </si>
  <si>
    <t>Cabuenas</t>
  </si>
  <si>
    <t>Calunod</t>
  </si>
  <si>
    <t>Camero</t>
  </si>
  <si>
    <t>Caparida</t>
  </si>
  <si>
    <t>Cavite</t>
  </si>
  <si>
    <t>Dagaraga</t>
  </si>
  <si>
    <t>Echavez</t>
  </si>
  <si>
    <t>Erediano</t>
  </si>
  <si>
    <t>Gastanes</t>
  </si>
  <si>
    <t>Gerodias</t>
  </si>
  <si>
    <t>Gerra</t>
  </si>
  <si>
    <t>Gomez</t>
  </si>
  <si>
    <t>Herbito</t>
  </si>
  <si>
    <t>Jake</t>
  </si>
  <si>
    <t>Eljoy</t>
  </si>
  <si>
    <t>Angel</t>
  </si>
  <si>
    <t>Mary Josephine</t>
  </si>
  <si>
    <t>Endrie</t>
  </si>
  <si>
    <t>Maine</t>
  </si>
  <si>
    <t>Ruth</t>
  </si>
  <si>
    <t>Sharon</t>
  </si>
  <si>
    <t>Joan</t>
  </si>
  <si>
    <t>Gracelyn</t>
  </si>
  <si>
    <t>Hector</t>
  </si>
  <si>
    <t>Jeffrey</t>
  </si>
  <si>
    <t>Marilou</t>
  </si>
  <si>
    <t>Jasmin</t>
  </si>
  <si>
    <t>Elsa</t>
  </si>
  <si>
    <t>Leslyn Rose</t>
  </si>
  <si>
    <t>Dawn Camille</t>
  </si>
  <si>
    <t>Lourence</t>
  </si>
  <si>
    <t>Delos Reyes</t>
  </si>
  <si>
    <t>Carolyn</t>
  </si>
  <si>
    <t>Jao</t>
  </si>
  <si>
    <t>Laspiñas</t>
  </si>
  <si>
    <t>Lim</t>
  </si>
  <si>
    <t>Loreto</t>
  </si>
  <si>
    <t>Mabanag</t>
  </si>
  <si>
    <t>Mabunay</t>
  </si>
  <si>
    <t>Macanin</t>
  </si>
  <si>
    <t>Misterio</t>
  </si>
  <si>
    <t>Mortal</t>
  </si>
  <si>
    <t>Medillo</t>
  </si>
  <si>
    <t>Olo</t>
  </si>
  <si>
    <t>Oro</t>
  </si>
  <si>
    <t>Orocay</t>
  </si>
  <si>
    <t>Lucille</t>
  </si>
  <si>
    <t>Benerando</t>
  </si>
  <si>
    <t>Metchie Gay</t>
  </si>
  <si>
    <t>Jeralyn</t>
  </si>
  <si>
    <t>Genesa</t>
  </si>
  <si>
    <t>Goc-ong</t>
  </si>
  <si>
    <t>Janelou</t>
  </si>
  <si>
    <t>Junnelyn</t>
  </si>
  <si>
    <t>Roxan Mae</t>
  </si>
  <si>
    <t>Fernando</t>
  </si>
  <si>
    <t>Pintuan</t>
  </si>
  <si>
    <t>Primacio</t>
  </si>
  <si>
    <t>Quiling</t>
  </si>
  <si>
    <t>Racaza</t>
  </si>
  <si>
    <t>Retuya</t>
  </si>
  <si>
    <t>Reyes</t>
  </si>
  <si>
    <t>Saavedra</t>
  </si>
  <si>
    <t>Sacaris</t>
  </si>
  <si>
    <t>Nerisa</t>
  </si>
  <si>
    <t>Carl</t>
  </si>
  <si>
    <t>Lyka</t>
  </si>
  <si>
    <t>Richie Ryan</t>
  </si>
  <si>
    <t>Maria Jeziel</t>
  </si>
  <si>
    <t>Hernandez</t>
  </si>
  <si>
    <t>Maloloy-on</t>
  </si>
  <si>
    <t>Jeralen</t>
  </si>
  <si>
    <t>Lawas</t>
  </si>
  <si>
    <t>Elbert</t>
  </si>
  <si>
    <t>Lumapas</t>
  </si>
  <si>
    <t>Joy</t>
  </si>
  <si>
    <t>Enaya</t>
  </si>
  <si>
    <t>Claire</t>
  </si>
  <si>
    <t>B</t>
  </si>
  <si>
    <t>Gwendolyn</t>
  </si>
  <si>
    <t>Fabrica</t>
  </si>
  <si>
    <t>Jay Neil</t>
  </si>
  <si>
    <t>Barcelonia</t>
  </si>
  <si>
    <t>Glendale</t>
  </si>
  <si>
    <t>Regidor</t>
  </si>
  <si>
    <t>Juario</t>
  </si>
  <si>
    <t>Ma. Lourdes</t>
  </si>
  <si>
    <t>Bacus</t>
  </si>
  <si>
    <t>Bret Kalvin</t>
  </si>
  <si>
    <t>Sabañico</t>
  </si>
  <si>
    <t>Jhea</t>
  </si>
  <si>
    <t>Navarro</t>
  </si>
  <si>
    <t>Joyce</t>
  </si>
  <si>
    <t>Cabañero</t>
  </si>
  <si>
    <t>Cromwell</t>
  </si>
  <si>
    <t>Padilla</t>
  </si>
  <si>
    <t>Nancy</t>
  </si>
  <si>
    <t>Labora</t>
  </si>
  <si>
    <t>Angelo</t>
  </si>
  <si>
    <t>Pulido</t>
  </si>
  <si>
    <t>Brendel</t>
  </si>
  <si>
    <t>Bastida</t>
  </si>
  <si>
    <t>Bella Arquine</t>
  </si>
  <si>
    <t>Traje</t>
  </si>
  <si>
    <t>Samontañez</t>
  </si>
  <si>
    <t>Uy</t>
  </si>
  <si>
    <t>Jevy Ann</t>
  </si>
  <si>
    <t>Orbeta</t>
  </si>
  <si>
    <t>Vergara</t>
  </si>
  <si>
    <t>Grace</t>
  </si>
  <si>
    <t>Villavelez</t>
  </si>
  <si>
    <t>Guillermo</t>
  </si>
  <si>
    <t>Villaver</t>
  </si>
  <si>
    <t>Agang</t>
  </si>
  <si>
    <t>Bacaltos</t>
  </si>
  <si>
    <t>Markjil</t>
  </si>
  <si>
    <t>Z</t>
  </si>
  <si>
    <t>Celocia</t>
  </si>
  <si>
    <t>Diocel</t>
  </si>
  <si>
    <t>Administrative Officer II</t>
  </si>
  <si>
    <t>Security</t>
  </si>
  <si>
    <t>Teacher II</t>
  </si>
  <si>
    <t>Teacher IV</t>
  </si>
  <si>
    <t>Teacher V</t>
  </si>
  <si>
    <t>Teacher VI</t>
  </si>
  <si>
    <t>Teacher VII</t>
  </si>
  <si>
    <t>Master Teacher II</t>
  </si>
  <si>
    <t>Master Teacher III</t>
  </si>
  <si>
    <t>Master Teacher IV</t>
  </si>
  <si>
    <t>SHS-Teacher II</t>
  </si>
  <si>
    <t>SHS-Teacher III</t>
  </si>
  <si>
    <t>SHS-Teacher IV</t>
  </si>
  <si>
    <t>SHS-Teacher V</t>
  </si>
  <si>
    <t>SHS-Teacher VI</t>
  </si>
  <si>
    <t>SHS-Teacher VII</t>
  </si>
  <si>
    <t>Master Teacher V</t>
  </si>
  <si>
    <t>School Principal I</t>
  </si>
  <si>
    <t>School Principal II</t>
  </si>
  <si>
    <t>School Principal III</t>
  </si>
  <si>
    <t>School Principal IV</t>
  </si>
  <si>
    <t>Administrative Assistant II</t>
  </si>
  <si>
    <t>Administrative Assistant III</t>
  </si>
  <si>
    <t>Guidance Counselor I</t>
  </si>
  <si>
    <t>Guidance Counselor II</t>
  </si>
  <si>
    <t>Librarian I</t>
  </si>
  <si>
    <t>Registrar I</t>
  </si>
  <si>
    <t>Nurse I</t>
  </si>
  <si>
    <t>Security Guard</t>
  </si>
  <si>
    <t>Utility Worker</t>
  </si>
  <si>
    <t>Job Order Personnel</t>
  </si>
  <si>
    <t>SHS-Teacher I</t>
  </si>
  <si>
    <t>School Head</t>
  </si>
  <si>
    <t>Assistant School Principal</t>
  </si>
  <si>
    <t>Officer-in-Charge</t>
  </si>
  <si>
    <t>Master Teacher</t>
  </si>
  <si>
    <t>Department Head</t>
  </si>
  <si>
    <t>Subject Group Head</t>
  </si>
  <si>
    <t>Class Adviser</t>
  </si>
  <si>
    <t>JHS Coordinator</t>
  </si>
  <si>
    <t>TVL Coordinator</t>
  </si>
  <si>
    <t>Academic Track Coordinator</t>
  </si>
  <si>
    <t>Work Immersion Coordinator</t>
  </si>
  <si>
    <t>Research Coordinator</t>
  </si>
  <si>
    <t>Learning Resource Coordinator</t>
  </si>
  <si>
    <t>School ICT Coordinator</t>
  </si>
  <si>
    <t>LIS / EBEIS Coordinator</t>
  </si>
  <si>
    <t>School Information Coordinator</t>
  </si>
  <si>
    <t>Public Information Officer</t>
  </si>
  <si>
    <t>School DRRM Coordinator</t>
  </si>
  <si>
    <t>School Health Coordinator</t>
  </si>
  <si>
    <t>Guidance Designate</t>
  </si>
  <si>
    <t>Child Protection Coordinator</t>
  </si>
  <si>
    <t>GAD Coordinator</t>
  </si>
  <si>
    <t>Reading Coordinator</t>
  </si>
  <si>
    <t>Numeracy Coordinator</t>
  </si>
  <si>
    <t>SBM Coordinator</t>
  </si>
  <si>
    <t>Brigada Eskwela Coordinator</t>
  </si>
  <si>
    <t>Oplan Balik Eskwela Coordinator</t>
  </si>
  <si>
    <t>School Sports Coordinator</t>
  </si>
  <si>
    <t>School Paper Adviser</t>
  </si>
  <si>
    <t>Supreme Secondary Learner Government Adviser</t>
  </si>
  <si>
    <t>YES-O Adviser</t>
  </si>
  <si>
    <t>Barkada Kontra Droga Adviser</t>
  </si>
  <si>
    <t>School Canteen Teacher-in-Charge</t>
  </si>
  <si>
    <t>Property Custodian</t>
  </si>
  <si>
    <t>Supply Officer / Supply Designate</t>
  </si>
  <si>
    <t>Records Officer / Records Designate</t>
  </si>
  <si>
    <t>BAC Secretariat</t>
  </si>
  <si>
    <t>Finance / MOOE Designate</t>
  </si>
  <si>
    <t>Testing Coordinator</t>
  </si>
  <si>
    <t>NCAE / NAT Coordinator</t>
  </si>
  <si>
    <t>Homeroom Guidance Coordinator</t>
  </si>
  <si>
    <t>Values Formation Coordinator</t>
  </si>
  <si>
    <t>Inclusive Education Coordinator</t>
  </si>
  <si>
    <t>ALS Coordinator</t>
  </si>
  <si>
    <t>Partnerships Coordinator</t>
  </si>
  <si>
    <t>Alumni Coordinator</t>
  </si>
  <si>
    <t>School Website Manager</t>
  </si>
  <si>
    <t>Social Media Manager</t>
  </si>
  <si>
    <t>Photodocumentation Coordinator</t>
  </si>
  <si>
    <t>Facilities Coordinator</t>
  </si>
  <si>
    <t>Safety and Security Coordinator</t>
  </si>
  <si>
    <t>Maintenance Coordinator</t>
  </si>
  <si>
    <t>None</t>
  </si>
  <si>
    <t>designation1</t>
  </si>
  <si>
    <t>designation2</t>
  </si>
  <si>
    <t>otherDesignations</t>
  </si>
  <si>
    <t>10th Grade Level Chairperson</t>
  </si>
  <si>
    <t>9th Grade Level Chairperson</t>
  </si>
  <si>
    <t>8th Grade Level Chairperson</t>
  </si>
  <si>
    <t>7th Grade Level Chairperson</t>
  </si>
  <si>
    <t>Senior High School Coordinator</t>
  </si>
  <si>
    <t>Website and Social Media Manager</t>
  </si>
  <si>
    <t>Faculty Public Information Officer</t>
  </si>
  <si>
    <t>English</t>
  </si>
  <si>
    <t>subGroup</t>
  </si>
  <si>
    <t>Office of the School Head</t>
  </si>
  <si>
    <t>JHS</t>
  </si>
  <si>
    <t>SHS</t>
  </si>
  <si>
    <t>Filipino</t>
  </si>
  <si>
    <t>Mathematics</t>
  </si>
  <si>
    <t>Science</t>
  </si>
  <si>
    <t>Araling Panlipunan</t>
  </si>
  <si>
    <t>MAPEH</t>
  </si>
  <si>
    <t>TLE</t>
  </si>
  <si>
    <t>TVL</t>
  </si>
  <si>
    <t>EIM</t>
  </si>
  <si>
    <t>CSS</t>
  </si>
  <si>
    <t>EPAS</t>
  </si>
  <si>
    <t>DRRM / Safety</t>
  </si>
  <si>
    <t>Student Services</t>
  </si>
  <si>
    <t>School Governance</t>
  </si>
  <si>
    <t>Grade 7</t>
  </si>
  <si>
    <t>Grade 8</t>
  </si>
  <si>
    <t>Grade 9</t>
  </si>
  <si>
    <t>Grade 10</t>
  </si>
  <si>
    <t>Grade 11</t>
  </si>
  <si>
    <t>Grade 12</t>
  </si>
  <si>
    <t>designation3</t>
  </si>
  <si>
    <t>designation4</t>
  </si>
  <si>
    <t>displayGroup</t>
  </si>
  <si>
    <t>groupOrder</t>
  </si>
  <si>
    <t>subGroupOrder</t>
  </si>
  <si>
    <t>personOrder</t>
  </si>
  <si>
    <t>Administrative Staff</t>
  </si>
  <si>
    <t>Coordinators</t>
  </si>
  <si>
    <t>Master Teachers</t>
  </si>
  <si>
    <t>Grade Level Chairpersons</t>
  </si>
  <si>
    <t>Class Advisers</t>
  </si>
  <si>
    <t>Subject Teachers</t>
  </si>
  <si>
    <t>School Support Personnel</t>
  </si>
  <si>
    <t>Support Staff</t>
  </si>
  <si>
    <t>Job Order/Support Personnel</t>
  </si>
  <si>
    <t>Cabs</t>
  </si>
  <si>
    <t>Mans</t>
  </si>
  <si>
    <t>Luis</t>
  </si>
  <si>
    <t>Luie</t>
  </si>
  <si>
    <t>Senior High School In-Charge</t>
  </si>
  <si>
    <t>Junior High School In-Charge</t>
  </si>
  <si>
    <t>BSP Coordinator</t>
  </si>
  <si>
    <t>SDRRM Coordinator</t>
  </si>
  <si>
    <t>LIS/ICT/EBEIS Coordinator</t>
  </si>
  <si>
    <t>SSLG Coordinator</t>
  </si>
  <si>
    <t>GSP oordinator</t>
  </si>
  <si>
    <t>Canteen Coordinator</t>
  </si>
  <si>
    <t>Health Aid Coordinator</t>
  </si>
  <si>
    <t>Math</t>
  </si>
  <si>
    <t>ICT/Progamming</t>
  </si>
  <si>
    <t>N/A</t>
  </si>
  <si>
    <t>EPP</t>
  </si>
  <si>
    <t>Electronic Product Assembly and Servicing</t>
  </si>
  <si>
    <t>Hairdressing/Beauty Care</t>
  </si>
  <si>
    <t>Computer Systems Servicing / Filipino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</si>
</sst>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0F4C5C"/>
      <name val="Carlito"/>
    </font>
    <font>
      <b/>
      <sz val="11"/>
      <color rgb="FF0F4C5C"/>
      <name val="Carlito"/>
    </font>
    <font>
      <sz val="8"/>
      <name val="Carlito"/>
    </font>
    <font>
      <sz val="11"/>
      <name val="Segoe UI"/>
      <family val="2"/>
    </font>
    <font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</dxf>
    <dxf>
      <font>
        <b val="0"/>
        <strike val="0"/>
        <outline val="0"/>
        <shadow val="0"/>
        <u val="none"/>
        <vertAlign val="baseline"/>
        <sz val="1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nelRosterTable" displayName="PersonnelRosterTable" ref="A1:W71" headerRowDxfId="25" dataDxfId="24" totalsRowDxfId="23">
  <tableColumns count="23">
    <tableColumn id="1" xr3:uid="{00000000-0010-0000-0000-000001000000}" name="order" dataDxfId="22"/>
    <tableColumn id="2" xr3:uid="{00000000-0010-0000-0000-000002000000}" name="lastName" dataDxfId="21"/>
    <tableColumn id="10" xr3:uid="{AF2D5150-6C8E-4586-A045-6EA7C80A524C}" name="firstName" dataDxfId="20"/>
    <tableColumn id="12" xr3:uid="{DEB63105-4C35-428E-B5D1-A14E3164B3DA}" name="middleName" dataDxfId="19"/>
    <tableColumn id="11" xr3:uid="{CFE5C25B-9704-4E8F-ACBC-C9336567385E}" name="middleInitial" dataDxfId="18">
      <calculatedColumnFormula>IF(D2="","",LEFT(TRIM(D2),1)&amp;".")</calculatedColumnFormula>
    </tableColumn>
    <tableColumn id="9" xr3:uid="{C15E3D36-7D44-4129-AD8E-8A7781CC6A93}" name="suffix" dataDxfId="17"/>
    <tableColumn id="13" xr3:uid="{1E3C14F7-2268-499C-B881-A1FE0A7127D7}" name="displayName" dataDxfId="16">
      <calculatedColumnFormula>TRIM(_xlfn.TEXTJOIN(" ",TRUE,C2,IF(E2&lt;&gt;"",IF(RIGHT(E2,1)=".",E2,E2&amp;"."),D2),B2,F2))</calculatedColumnFormula>
    </tableColumn>
    <tableColumn id="3" xr3:uid="{00000000-0010-0000-0000-000003000000}" name="position" dataDxfId="2"/>
    <tableColumn id="14" xr3:uid="{871D5899-2C99-449D-AE1E-5492B1075D69}" name="designation1" dataDxfId="0"/>
    <tableColumn id="15" xr3:uid="{F4F0A446-7DFB-4099-8C3C-39E5D7D48BD0}" name="designation2" dataDxfId="1"/>
    <tableColumn id="16" xr3:uid="{9D4F6523-1087-480E-82D3-17DF6BB11D95}" name="designation3" dataDxfId="15"/>
    <tableColumn id="18" xr3:uid="{30162747-79C9-4043-9391-B8B420E4C626}" name="designation4" dataDxfId="14"/>
    <tableColumn id="17" xr3:uid="{820C0CC6-055B-4F59-A5A5-608142530FDE}" name="otherDesignations" dataDxfId="13"/>
    <tableColumn id="4" xr3:uid="{00000000-0010-0000-0000-000004000000}" name="category" dataDxfId="12"/>
    <tableColumn id="5" xr3:uid="{00000000-0010-0000-0000-000005000000}" name="department" dataDxfId="11"/>
    <tableColumn id="6" xr3:uid="{00000000-0010-0000-0000-000006000000}" name="subjectArea" dataDxfId="10"/>
    <tableColumn id="23" xr3:uid="{07B5CB0A-FE18-46C6-B1E6-1B1D900FB654}" name="displayGroup" dataDxfId="9"/>
    <tableColumn id="22" xr3:uid="{65EBFB40-77EE-48B3-8561-311242B8D6D2}" name="subGroup" dataDxfId="8"/>
    <tableColumn id="21" xr3:uid="{AE424BEB-0E42-47BC-8BF7-A0E6C15B9F30}" name="groupOrder" dataDxfId="7"/>
    <tableColumn id="20" xr3:uid="{8ED835C9-250F-4A69-B1C0-89AD725EFF0F}" name="subGroupOrder" dataDxfId="6"/>
    <tableColumn id="19" xr3:uid="{894550D0-2DF4-4E17-A2FB-C537176088F7}" name="personOrder" dataDxfId="5"/>
    <tableColumn id="7" xr3:uid="{00000000-0010-0000-0000-000007000000}" name="photoUrl" dataDxfId="4"/>
    <tableColumn id="8" xr3:uid="{00000000-0010-0000-0000-000008000000}" name="status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abSelected="1" zoomScale="85" zoomScaleNormal="85" workbookViewId="0">
      <pane xSplit="8" ySplit="1" topLeftCell="M2" activePane="bottomRight" state="frozen"/>
      <selection pane="topRight" activeCell="I1" sqref="I1"/>
      <selection pane="bottomLeft" activeCell="A2" sqref="A2"/>
      <selection pane="bottomRight" activeCell="N22" sqref="N22"/>
    </sheetView>
  </sheetViews>
  <sheetFormatPr defaultRowHeight="16.8"/>
  <cols>
    <col min="1" max="1" width="5.59765625" style="4" bestFit="1" customWidth="1"/>
    <col min="2" max="2" width="11.09765625" style="4" bestFit="1" customWidth="1"/>
    <col min="3" max="3" width="13.8984375" style="4" bestFit="1" customWidth="1"/>
    <col min="4" max="4" width="14.59765625" style="4" customWidth="1"/>
    <col min="5" max="5" width="13.3984375" style="4" customWidth="1"/>
    <col min="6" max="6" width="5.796875" style="4" bestFit="1" customWidth="1"/>
    <col min="7" max="7" width="30.3984375" style="4" customWidth="1"/>
    <col min="8" max="8" width="23.5" style="4" customWidth="1"/>
    <col min="9" max="9" width="27.69921875" style="11" customWidth="1"/>
    <col min="10" max="10" width="31" style="4" customWidth="1"/>
    <col min="11" max="12" width="28" style="4" customWidth="1"/>
    <col min="13" max="13" width="32.8984375" style="4" customWidth="1"/>
    <col min="14" max="14" width="26.69921875" style="4" customWidth="1"/>
    <col min="15" max="15" width="20.09765625" style="4" bestFit="1" customWidth="1"/>
    <col min="16" max="16" width="45.19921875" style="7" customWidth="1"/>
    <col min="17" max="21" width="24.19921875" style="7" customWidth="1"/>
    <col min="22" max="22" width="36.69921875" style="4" customWidth="1"/>
    <col min="23" max="23" width="6.3984375" style="7" bestFit="1" customWidth="1"/>
    <col min="24" max="16384" width="8.796875" style="4"/>
  </cols>
  <sheetData>
    <row r="1" spans="1:23" ht="20.399999999999999" customHeight="1">
      <c r="A1" s="8" t="s">
        <v>0</v>
      </c>
      <c r="B1" s="8" t="s">
        <v>46</v>
      </c>
      <c r="C1" s="8" t="s">
        <v>47</v>
      </c>
      <c r="D1" s="8" t="s">
        <v>48</v>
      </c>
      <c r="E1" s="8" t="s">
        <v>49</v>
      </c>
      <c r="F1" s="8" t="s">
        <v>50</v>
      </c>
      <c r="G1" s="8" t="s">
        <v>51</v>
      </c>
      <c r="H1" s="8" t="s">
        <v>1</v>
      </c>
      <c r="I1" s="8" t="s">
        <v>324</v>
      </c>
      <c r="J1" s="8" t="s">
        <v>325</v>
      </c>
      <c r="K1" s="8" t="s">
        <v>358</v>
      </c>
      <c r="L1" s="8" t="s">
        <v>359</v>
      </c>
      <c r="M1" s="8" t="s">
        <v>326</v>
      </c>
      <c r="N1" s="8" t="s">
        <v>2</v>
      </c>
      <c r="O1" s="8" t="s">
        <v>3</v>
      </c>
      <c r="P1" s="8" t="s">
        <v>4</v>
      </c>
      <c r="Q1" s="8" t="s">
        <v>360</v>
      </c>
      <c r="R1" s="8" t="s">
        <v>335</v>
      </c>
      <c r="S1" s="8" t="s">
        <v>361</v>
      </c>
      <c r="T1" s="8" t="s">
        <v>362</v>
      </c>
      <c r="U1" s="8" t="s">
        <v>363</v>
      </c>
      <c r="V1" s="8" t="s">
        <v>5</v>
      </c>
      <c r="W1" s="8" t="s">
        <v>6</v>
      </c>
    </row>
    <row r="2" spans="1:23">
      <c r="A2" s="5">
        <v>1</v>
      </c>
      <c r="B2" s="5" t="s">
        <v>52</v>
      </c>
      <c r="C2" s="5" t="s">
        <v>53</v>
      </c>
      <c r="D2" s="5" t="s">
        <v>54</v>
      </c>
      <c r="E2" s="5" t="str">
        <f t="shared" ref="E2:E37" si="0">IF(D2="","",LEFT(TRIM(D2),1)&amp;".")</f>
        <v>V.</v>
      </c>
      <c r="F2" s="5"/>
      <c r="G2" s="5" t="str">
        <f t="shared" ref="G2:G4" si="1">TRIM(_xlfn.TEXTJOIN(" ",TRUE,C2,IF(E2&lt;&gt;"",IF(RIGHT(E2,1)=".",E2,E2&amp;"."),D2),B2,F2))</f>
        <v>Paz V. Abad</v>
      </c>
      <c r="H2" s="5" t="s">
        <v>10</v>
      </c>
      <c r="I2" s="9" t="s">
        <v>327</v>
      </c>
      <c r="J2" s="5"/>
      <c r="K2" s="5"/>
      <c r="L2" s="5"/>
      <c r="M2" s="5"/>
      <c r="N2" s="6" t="s">
        <v>13</v>
      </c>
      <c r="O2" s="5" t="s">
        <v>11</v>
      </c>
      <c r="P2" s="6" t="s">
        <v>334</v>
      </c>
      <c r="Q2" s="6"/>
      <c r="R2" s="6"/>
      <c r="S2" s="6"/>
      <c r="T2" s="6"/>
      <c r="U2" s="6"/>
      <c r="V2" s="5" t="str">
        <f>"/personnel/"&amp;LOWER(SUBSTITUTE(TRIM(C2&amp;" "&amp;B2)," ","-"))&amp;".jpg"</f>
        <v>/personnel/paz-abad.jpg</v>
      </c>
      <c r="W2" s="6" t="s">
        <v>9</v>
      </c>
    </row>
    <row r="3" spans="1:23">
      <c r="A3" s="5">
        <v>2</v>
      </c>
      <c r="B3" s="5" t="s">
        <v>56</v>
      </c>
      <c r="C3" s="5" t="s">
        <v>57</v>
      </c>
      <c r="D3" s="5" t="s">
        <v>58</v>
      </c>
      <c r="E3" s="5" t="str">
        <f t="shared" si="0"/>
        <v>G.</v>
      </c>
      <c r="F3" s="5"/>
      <c r="G3" s="5" t="str">
        <f t="shared" si="1"/>
        <v>Marissa G. Abalo</v>
      </c>
      <c r="H3" s="5" t="s">
        <v>12</v>
      </c>
      <c r="I3" s="10" t="s">
        <v>368</v>
      </c>
      <c r="J3" s="5"/>
      <c r="K3" s="5"/>
      <c r="L3" s="5"/>
      <c r="M3" s="5"/>
      <c r="N3" s="6" t="s">
        <v>13</v>
      </c>
      <c r="O3" s="5" t="s">
        <v>17</v>
      </c>
      <c r="P3" s="6" t="s">
        <v>343</v>
      </c>
      <c r="Q3" s="6" t="s">
        <v>368</v>
      </c>
      <c r="R3" s="6"/>
      <c r="S3" s="6"/>
      <c r="T3" s="6"/>
      <c r="U3" s="6"/>
      <c r="V3" s="5" t="str">
        <f t="shared" ref="V3:V66" si="2">"/personnel/"&amp;LOWER(SUBSTITUTE(TRIM(C3&amp;" "&amp;B3)," ","-"))&amp;".jpg"</f>
        <v>/personnel/marissa-abalo.jpg</v>
      </c>
      <c r="W3" s="6" t="s">
        <v>9</v>
      </c>
    </row>
    <row r="4" spans="1:23">
      <c r="A4" s="5">
        <v>3</v>
      </c>
      <c r="B4" s="5" t="s">
        <v>59</v>
      </c>
      <c r="C4" s="5" t="s">
        <v>60</v>
      </c>
      <c r="D4" s="5" t="s">
        <v>61</v>
      </c>
      <c r="E4" s="5" t="str">
        <f t="shared" si="0"/>
        <v>C.</v>
      </c>
      <c r="F4" s="5"/>
      <c r="G4" s="5" t="str">
        <f t="shared" si="1"/>
        <v>Joseph C. Allosada</v>
      </c>
      <c r="H4" s="5" t="s">
        <v>12</v>
      </c>
      <c r="I4" s="10"/>
      <c r="J4" s="5"/>
      <c r="K4" s="5"/>
      <c r="L4" s="5"/>
      <c r="M4" s="5"/>
      <c r="N4" s="6" t="s">
        <v>13</v>
      </c>
      <c r="O4" s="5" t="s">
        <v>17</v>
      </c>
      <c r="P4" s="6" t="s">
        <v>386</v>
      </c>
      <c r="Q4" s="6"/>
      <c r="R4" s="6"/>
      <c r="S4" s="6"/>
      <c r="T4" s="6"/>
      <c r="U4" s="6"/>
      <c r="V4" s="5" t="str">
        <f t="shared" si="2"/>
        <v>/personnel/joseph-allosada.jpg</v>
      </c>
      <c r="W4" s="6" t="s">
        <v>9</v>
      </c>
    </row>
    <row r="5" spans="1:23">
      <c r="A5" s="5">
        <v>4</v>
      </c>
      <c r="B5" s="5" t="s">
        <v>62</v>
      </c>
      <c r="C5" s="5" t="s">
        <v>63</v>
      </c>
      <c r="D5" s="5" t="s">
        <v>64</v>
      </c>
      <c r="E5" s="5" t="str">
        <f t="shared" si="0"/>
        <v>B.</v>
      </c>
      <c r="F5" s="5"/>
      <c r="G5" s="5" t="str">
        <f t="shared" ref="G5:G37" si="3">TRIM(_xlfn.TEXTJOIN(" ",TRUE,C5,IF(E5&lt;&gt;"",IF(RIGHT(E5,1)=".",E5,E5&amp;"."),D5),B5,F5))</f>
        <v>Sharon Gay B. Alsa</v>
      </c>
      <c r="H5" s="5" t="s">
        <v>12</v>
      </c>
      <c r="I5" s="10" t="s">
        <v>368</v>
      </c>
      <c r="J5" s="5"/>
      <c r="K5" s="5"/>
      <c r="L5" s="5"/>
      <c r="M5" s="5"/>
      <c r="N5" s="6" t="s">
        <v>13</v>
      </c>
      <c r="O5" s="5" t="s">
        <v>17</v>
      </c>
      <c r="P5" s="6" t="s">
        <v>343</v>
      </c>
      <c r="Q5" s="6" t="s">
        <v>368</v>
      </c>
      <c r="R5" s="6"/>
      <c r="S5" s="6"/>
      <c r="T5" s="6"/>
      <c r="U5" s="6"/>
      <c r="V5" s="5" t="str">
        <f t="shared" si="2"/>
        <v>/personnel/sharon-gay-alsa.jpg</v>
      </c>
      <c r="W5" s="6" t="s">
        <v>9</v>
      </c>
    </row>
    <row r="6" spans="1:23">
      <c r="A6" s="5">
        <v>5</v>
      </c>
      <c r="B6" s="5" t="s">
        <v>65</v>
      </c>
      <c r="C6" s="5" t="s">
        <v>66</v>
      </c>
      <c r="D6" s="5" t="s">
        <v>67</v>
      </c>
      <c r="E6" s="5" t="str">
        <f t="shared" si="0"/>
        <v>C.</v>
      </c>
      <c r="F6" s="5"/>
      <c r="G6" s="5" t="str">
        <f t="shared" si="3"/>
        <v>Lonier C. Andrade</v>
      </c>
      <c r="H6" s="5" t="s">
        <v>12</v>
      </c>
      <c r="I6" s="10" t="s">
        <v>368</v>
      </c>
      <c r="J6" s="5"/>
      <c r="K6" s="5"/>
      <c r="L6" s="5"/>
      <c r="M6" s="5"/>
      <c r="N6" s="6" t="s">
        <v>13</v>
      </c>
      <c r="O6" s="5" t="s">
        <v>14</v>
      </c>
      <c r="P6" s="6" t="s">
        <v>387</v>
      </c>
      <c r="Q6" s="6" t="s">
        <v>368</v>
      </c>
      <c r="R6" s="6"/>
      <c r="S6" s="6"/>
      <c r="T6" s="6"/>
      <c r="U6" s="6"/>
      <c r="V6" s="5" t="str">
        <f t="shared" si="2"/>
        <v>/personnel/lonier-andrade.jpg</v>
      </c>
      <c r="W6" s="6" t="s">
        <v>9</v>
      </c>
    </row>
    <row r="7" spans="1:23">
      <c r="A7" s="5">
        <v>6</v>
      </c>
      <c r="B7" s="5" t="s">
        <v>68</v>
      </c>
      <c r="C7" s="5" t="s">
        <v>69</v>
      </c>
      <c r="D7" s="5" t="s">
        <v>70</v>
      </c>
      <c r="E7" s="5" t="str">
        <f t="shared" si="0"/>
        <v>R.</v>
      </c>
      <c r="F7" s="5"/>
      <c r="G7" s="5" t="str">
        <f t="shared" si="3"/>
        <v>Allan Raul R. Aparicio</v>
      </c>
      <c r="H7" s="5" t="s">
        <v>16</v>
      </c>
      <c r="I7" s="10" t="s">
        <v>368</v>
      </c>
      <c r="J7" s="5"/>
      <c r="K7" s="5"/>
      <c r="L7" s="5"/>
      <c r="M7" s="5"/>
      <c r="N7" s="6" t="s">
        <v>13</v>
      </c>
      <c r="O7" s="5" t="s">
        <v>14</v>
      </c>
      <c r="P7" s="6" t="s">
        <v>344</v>
      </c>
      <c r="Q7" s="6" t="s">
        <v>368</v>
      </c>
      <c r="R7" s="6"/>
      <c r="S7" s="6"/>
      <c r="T7" s="6"/>
      <c r="U7" s="6"/>
      <c r="V7" s="5" t="str">
        <f t="shared" si="2"/>
        <v>/personnel/allan-raul-aparicio.jpg</v>
      </c>
      <c r="W7" s="6" t="s">
        <v>9</v>
      </c>
    </row>
    <row r="8" spans="1:23">
      <c r="A8" s="5">
        <v>7</v>
      </c>
      <c r="B8" s="5" t="s">
        <v>102</v>
      </c>
      <c r="C8" s="5" t="s">
        <v>103</v>
      </c>
      <c r="D8" s="5" t="s">
        <v>71</v>
      </c>
      <c r="E8" s="5" t="str">
        <f t="shared" si="0"/>
        <v>A.</v>
      </c>
      <c r="F8" s="5"/>
      <c r="G8" s="5" t="str">
        <f t="shared" si="3"/>
        <v>Niña Kristine A. Ayos</v>
      </c>
      <c r="H8" s="5" t="s">
        <v>239</v>
      </c>
      <c r="I8" s="10"/>
      <c r="J8" s="5"/>
      <c r="K8" s="5"/>
      <c r="L8" s="5"/>
      <c r="M8" s="5"/>
      <c r="N8" s="6" t="s">
        <v>7</v>
      </c>
      <c r="O8" s="5" t="s">
        <v>7</v>
      </c>
      <c r="P8" s="6" t="s">
        <v>388</v>
      </c>
      <c r="Q8" s="6"/>
      <c r="R8" s="6"/>
      <c r="S8" s="6"/>
      <c r="T8" s="6"/>
      <c r="U8" s="6"/>
      <c r="V8" s="5" t="str">
        <f t="shared" si="2"/>
        <v>/personnel/niña-kristine-ayos.jpg</v>
      </c>
      <c r="W8" s="6" t="s">
        <v>9</v>
      </c>
    </row>
    <row r="9" spans="1:23">
      <c r="A9" s="5">
        <v>8</v>
      </c>
      <c r="B9" s="5" t="s">
        <v>106</v>
      </c>
      <c r="C9" s="5" t="s">
        <v>107</v>
      </c>
      <c r="D9" s="5" t="s">
        <v>72</v>
      </c>
      <c r="E9" s="5" t="str">
        <f t="shared" si="0"/>
        <v>T.</v>
      </c>
      <c r="F9" s="5"/>
      <c r="G9" s="5" t="str">
        <f t="shared" si="3"/>
        <v>Glenn T. Barangan</v>
      </c>
      <c r="H9" s="5" t="s">
        <v>244</v>
      </c>
      <c r="I9" s="10"/>
      <c r="J9" s="5"/>
      <c r="K9" s="5"/>
      <c r="L9" s="5"/>
      <c r="M9" s="5"/>
      <c r="N9" s="6" t="s">
        <v>13</v>
      </c>
      <c r="O9" s="5" t="s">
        <v>17</v>
      </c>
      <c r="P9" s="6" t="s">
        <v>344</v>
      </c>
      <c r="Q9" s="6"/>
      <c r="R9" s="6"/>
      <c r="S9" s="6"/>
      <c r="T9" s="6"/>
      <c r="U9" s="6"/>
      <c r="V9" s="5" t="str">
        <f t="shared" si="2"/>
        <v>/personnel/glenn-barangan.jpg</v>
      </c>
      <c r="W9" s="6" t="s">
        <v>9</v>
      </c>
    </row>
    <row r="10" spans="1:23">
      <c r="A10" s="5">
        <v>9</v>
      </c>
      <c r="B10" s="5" t="s">
        <v>108</v>
      </c>
      <c r="C10" s="5" t="s">
        <v>133</v>
      </c>
      <c r="D10" s="5" t="s">
        <v>73</v>
      </c>
      <c r="E10" s="5" t="str">
        <f t="shared" si="0"/>
        <v>T.</v>
      </c>
      <c r="F10" s="5"/>
      <c r="G10" s="5" t="str">
        <f t="shared" si="3"/>
        <v>Jake T. Barcenas</v>
      </c>
      <c r="H10" s="5" t="s">
        <v>12</v>
      </c>
      <c r="I10" s="10" t="s">
        <v>368</v>
      </c>
      <c r="J10" s="5"/>
      <c r="K10" s="5"/>
      <c r="L10" s="5"/>
      <c r="M10" s="5"/>
      <c r="N10" s="6" t="s">
        <v>13</v>
      </c>
      <c r="O10" s="5" t="s">
        <v>14</v>
      </c>
      <c r="P10" s="6" t="s">
        <v>389</v>
      </c>
      <c r="Q10" s="6" t="s">
        <v>368</v>
      </c>
      <c r="R10" s="6"/>
      <c r="S10" s="6"/>
      <c r="T10" s="6"/>
      <c r="U10" s="6"/>
      <c r="V10" s="5" t="str">
        <f t="shared" si="2"/>
        <v>/personnel/jake-barcenas.jpg</v>
      </c>
      <c r="W10" s="6" t="s">
        <v>9</v>
      </c>
    </row>
    <row r="11" spans="1:23">
      <c r="A11" s="5">
        <v>10</v>
      </c>
      <c r="B11" s="5" t="s">
        <v>109</v>
      </c>
      <c r="C11" s="5" t="s">
        <v>134</v>
      </c>
      <c r="D11" s="5" t="s">
        <v>74</v>
      </c>
      <c r="E11" s="5" t="str">
        <f t="shared" si="0"/>
        <v>P.</v>
      </c>
      <c r="F11" s="5"/>
      <c r="G11" s="5" t="str">
        <f t="shared" si="3"/>
        <v>Eljoy P. Barroca</v>
      </c>
      <c r="H11" s="5" t="s">
        <v>12</v>
      </c>
      <c r="I11" s="10" t="s">
        <v>368</v>
      </c>
      <c r="J11" s="5"/>
      <c r="K11" s="5"/>
      <c r="L11" s="5"/>
      <c r="M11" s="5"/>
      <c r="N11" s="6" t="s">
        <v>13</v>
      </c>
      <c r="O11" s="5" t="s">
        <v>17</v>
      </c>
      <c r="P11" s="6"/>
      <c r="Q11" s="6" t="s">
        <v>368</v>
      </c>
      <c r="R11" s="6"/>
      <c r="S11" s="6"/>
      <c r="T11" s="6"/>
      <c r="U11" s="6"/>
      <c r="V11" s="5" t="str">
        <f t="shared" si="2"/>
        <v>/personnel/eljoy-barroca.jpg</v>
      </c>
      <c r="W11" s="6" t="s">
        <v>9</v>
      </c>
    </row>
    <row r="12" spans="1:23">
      <c r="A12" s="5">
        <v>11</v>
      </c>
      <c r="B12" s="5" t="s">
        <v>110</v>
      </c>
      <c r="C12" s="5" t="s">
        <v>135</v>
      </c>
      <c r="D12" s="5" t="s">
        <v>75</v>
      </c>
      <c r="E12" s="5" t="str">
        <f t="shared" si="0"/>
        <v>C.</v>
      </c>
      <c r="F12" s="5"/>
      <c r="G12" s="5" t="str">
        <f t="shared" si="3"/>
        <v>Angel C. Batuigas</v>
      </c>
      <c r="H12" s="5" t="s">
        <v>12</v>
      </c>
      <c r="I12" s="10" t="s">
        <v>368</v>
      </c>
      <c r="J12" s="5" t="s">
        <v>379</v>
      </c>
      <c r="K12" s="5"/>
      <c r="L12" s="5"/>
      <c r="M12" s="5"/>
      <c r="N12" s="6" t="s">
        <v>13</v>
      </c>
      <c r="O12" s="5" t="s">
        <v>17</v>
      </c>
      <c r="P12" s="6"/>
      <c r="Q12" s="6" t="s">
        <v>368</v>
      </c>
      <c r="R12" s="6"/>
      <c r="S12" s="6"/>
      <c r="T12" s="6"/>
      <c r="U12" s="6"/>
      <c r="V12" s="5" t="str">
        <f t="shared" si="2"/>
        <v>/personnel/angel-batuigas.jpg</v>
      </c>
      <c r="W12" s="6" t="s">
        <v>9</v>
      </c>
    </row>
    <row r="13" spans="1:23">
      <c r="A13" s="5">
        <v>12</v>
      </c>
      <c r="B13" s="5" t="s">
        <v>111</v>
      </c>
      <c r="C13" s="5" t="s">
        <v>136</v>
      </c>
      <c r="D13" s="5" t="s">
        <v>76</v>
      </c>
      <c r="E13" s="5" t="str">
        <f t="shared" si="0"/>
        <v>L.</v>
      </c>
      <c r="F13" s="5"/>
      <c r="G13" s="5" t="str">
        <f t="shared" si="3"/>
        <v>Mary Josephine L. Bawiga</v>
      </c>
      <c r="H13" s="5" t="s">
        <v>12</v>
      </c>
      <c r="I13" s="10"/>
      <c r="J13" s="5"/>
      <c r="K13" s="5"/>
      <c r="L13" s="5"/>
      <c r="M13" s="5"/>
      <c r="N13" s="6" t="s">
        <v>13</v>
      </c>
      <c r="O13" s="5" t="s">
        <v>17</v>
      </c>
      <c r="P13" s="6" t="s">
        <v>343</v>
      </c>
      <c r="Q13" s="6"/>
      <c r="R13" s="6"/>
      <c r="S13" s="6"/>
      <c r="T13" s="6"/>
      <c r="U13" s="6"/>
      <c r="V13" s="5" t="str">
        <f t="shared" si="2"/>
        <v>/personnel/mary-josephine-bawiga.jpg</v>
      </c>
      <c r="W13" s="6" t="s">
        <v>9</v>
      </c>
    </row>
    <row r="14" spans="1:23">
      <c r="A14" s="5">
        <v>13</v>
      </c>
      <c r="B14" s="5" t="s">
        <v>112</v>
      </c>
      <c r="C14" s="5" t="s">
        <v>137</v>
      </c>
      <c r="D14" s="5" t="s">
        <v>77</v>
      </c>
      <c r="E14" s="5" t="str">
        <f t="shared" si="0"/>
        <v>P.</v>
      </c>
      <c r="F14" s="5"/>
      <c r="G14" s="5" t="str">
        <f t="shared" si="3"/>
        <v>Endrie P. Bohol</v>
      </c>
      <c r="H14" s="5" t="s">
        <v>12</v>
      </c>
      <c r="I14" s="10" t="s">
        <v>368</v>
      </c>
      <c r="J14" s="5"/>
      <c r="K14" s="5"/>
      <c r="L14" s="5"/>
      <c r="M14" s="5"/>
      <c r="N14" s="6" t="s">
        <v>13</v>
      </c>
      <c r="O14" s="5" t="s">
        <v>17</v>
      </c>
      <c r="P14" s="6" t="s">
        <v>386</v>
      </c>
      <c r="Q14" s="6" t="s">
        <v>368</v>
      </c>
      <c r="R14" s="6"/>
      <c r="S14" s="6"/>
      <c r="T14" s="6"/>
      <c r="U14" s="6"/>
      <c r="V14" s="5" t="str">
        <f t="shared" si="2"/>
        <v>/personnel/endrie-bohol.jpg</v>
      </c>
      <c r="W14" s="6" t="s">
        <v>9</v>
      </c>
    </row>
    <row r="15" spans="1:23">
      <c r="A15" s="5">
        <v>14</v>
      </c>
      <c r="B15" s="5" t="s">
        <v>113</v>
      </c>
      <c r="C15" s="5" t="s">
        <v>138</v>
      </c>
      <c r="D15" s="5" t="s">
        <v>78</v>
      </c>
      <c r="E15" s="5" t="str">
        <f t="shared" si="0"/>
        <v>L.</v>
      </c>
      <c r="F15" s="5"/>
      <c r="G15" s="5" t="str">
        <f t="shared" si="3"/>
        <v>Maine L. Bongas</v>
      </c>
      <c r="H15" s="5" t="s">
        <v>252</v>
      </c>
      <c r="I15" s="10" t="s">
        <v>331</v>
      </c>
      <c r="J15" s="5"/>
      <c r="K15" s="5"/>
      <c r="L15" s="5"/>
      <c r="M15" s="5"/>
      <c r="N15" s="6" t="s">
        <v>13</v>
      </c>
      <c r="O15" s="5" t="s">
        <v>14</v>
      </c>
      <c r="P15" s="6" t="s">
        <v>386</v>
      </c>
      <c r="Q15" s="6" t="s">
        <v>365</v>
      </c>
      <c r="R15" s="6"/>
      <c r="S15" s="6"/>
      <c r="T15" s="6"/>
      <c r="U15" s="6"/>
      <c r="V15" s="5" t="str">
        <f t="shared" si="2"/>
        <v>/personnel/maine-bongas.jpg</v>
      </c>
      <c r="W15" s="6" t="s">
        <v>9</v>
      </c>
    </row>
    <row r="16" spans="1:23">
      <c r="A16" s="5">
        <v>15</v>
      </c>
      <c r="B16" s="5" t="s">
        <v>104</v>
      </c>
      <c r="C16" s="5" t="s">
        <v>139</v>
      </c>
      <c r="D16" s="5"/>
      <c r="E16" s="5" t="str">
        <f t="shared" si="0"/>
        <v/>
      </c>
      <c r="F16" s="5"/>
      <c r="G16" s="5" t="str">
        <f t="shared" si="3"/>
        <v>Ruth Briones</v>
      </c>
      <c r="H16" s="5" t="s">
        <v>12</v>
      </c>
      <c r="I16" s="10" t="s">
        <v>368</v>
      </c>
      <c r="J16" s="5"/>
      <c r="K16" s="5"/>
      <c r="L16" s="5"/>
      <c r="M16" s="5"/>
      <c r="N16" s="6" t="s">
        <v>13</v>
      </c>
      <c r="O16" s="5" t="s">
        <v>17</v>
      </c>
      <c r="P16" s="6"/>
      <c r="Q16" s="6" t="s">
        <v>368</v>
      </c>
      <c r="R16" s="6"/>
      <c r="S16" s="6"/>
      <c r="T16" s="6"/>
      <c r="U16" s="6"/>
      <c r="V16" s="5" t="str">
        <f t="shared" si="2"/>
        <v>/personnel/ruth-briones.jpg</v>
      </c>
      <c r="W16" s="6" t="s">
        <v>9</v>
      </c>
    </row>
    <row r="17" spans="1:23">
      <c r="A17" s="5">
        <v>16</v>
      </c>
      <c r="B17" s="5" t="s">
        <v>114</v>
      </c>
      <c r="C17" s="5" t="s">
        <v>140</v>
      </c>
      <c r="D17" s="5" t="s">
        <v>79</v>
      </c>
      <c r="E17" s="5" t="str">
        <f t="shared" si="0"/>
        <v>G.</v>
      </c>
      <c r="F17" s="5"/>
      <c r="G17" s="5" t="str">
        <f t="shared" si="3"/>
        <v>Sharon G. Broñola</v>
      </c>
      <c r="H17" s="5" t="s">
        <v>12</v>
      </c>
      <c r="I17" s="10"/>
      <c r="J17" s="5"/>
      <c r="K17" s="5"/>
      <c r="L17" s="5"/>
      <c r="M17" s="5"/>
      <c r="N17" s="6" t="s">
        <v>13</v>
      </c>
      <c r="O17" s="5" t="s">
        <v>17</v>
      </c>
      <c r="P17" s="6"/>
      <c r="Q17" s="6"/>
      <c r="R17" s="6"/>
      <c r="S17" s="6"/>
      <c r="T17" s="6"/>
      <c r="U17" s="6"/>
      <c r="V17" s="5" t="str">
        <f t="shared" si="2"/>
        <v>/personnel/sharon-broñola.jpg</v>
      </c>
      <c r="W17" s="6" t="s">
        <v>9</v>
      </c>
    </row>
    <row r="18" spans="1:23">
      <c r="A18" s="5">
        <v>17</v>
      </c>
      <c r="B18" s="5" t="s">
        <v>115</v>
      </c>
      <c r="C18" s="5" t="s">
        <v>141</v>
      </c>
      <c r="D18" s="5" t="s">
        <v>80</v>
      </c>
      <c r="E18" s="5" t="str">
        <f t="shared" si="0"/>
        <v>A.</v>
      </c>
      <c r="F18" s="5"/>
      <c r="G18" s="5" t="str">
        <f t="shared" si="3"/>
        <v>Joan A. Cabalda</v>
      </c>
      <c r="H18" s="5" t="s">
        <v>260</v>
      </c>
      <c r="I18" s="10" t="s">
        <v>377</v>
      </c>
      <c r="J18" s="5"/>
      <c r="K18" s="5"/>
      <c r="L18" s="5"/>
      <c r="M18" s="5"/>
      <c r="N18" s="6" t="s">
        <v>7</v>
      </c>
      <c r="O18" s="5" t="s">
        <v>14</v>
      </c>
      <c r="P18" s="6" t="s">
        <v>388</v>
      </c>
      <c r="Q18" s="6"/>
      <c r="R18" s="6"/>
      <c r="S18" s="6"/>
      <c r="T18" s="6"/>
      <c r="U18" s="6"/>
      <c r="V18" s="5" t="str">
        <f t="shared" si="2"/>
        <v>/personnel/joan-cabalda.jpg</v>
      </c>
      <c r="W18" s="6" t="s">
        <v>9</v>
      </c>
    </row>
    <row r="19" spans="1:23">
      <c r="A19" s="5">
        <v>18</v>
      </c>
      <c r="B19" s="5" t="s">
        <v>116</v>
      </c>
      <c r="C19" s="5" t="s">
        <v>142</v>
      </c>
      <c r="D19" s="5" t="s">
        <v>81</v>
      </c>
      <c r="E19" s="5" t="str">
        <f t="shared" si="0"/>
        <v>M.</v>
      </c>
      <c r="F19" s="5"/>
      <c r="G19" s="5" t="str">
        <f t="shared" si="3"/>
        <v>Gracelyn M. Cabunag</v>
      </c>
      <c r="H19" s="5" t="s">
        <v>249</v>
      </c>
      <c r="I19" s="10" t="s">
        <v>385</v>
      </c>
      <c r="J19" s="5"/>
      <c r="K19" s="5"/>
      <c r="L19" s="5"/>
      <c r="M19" s="5"/>
      <c r="N19" s="6" t="s">
        <v>13</v>
      </c>
      <c r="O19" s="5" t="s">
        <v>14</v>
      </c>
      <c r="P19" s="6" t="s">
        <v>339</v>
      </c>
      <c r="Q19" s="6" t="s">
        <v>365</v>
      </c>
      <c r="R19" s="6"/>
      <c r="S19" s="6"/>
      <c r="T19" s="6"/>
      <c r="U19" s="6"/>
      <c r="V19" s="5" t="str">
        <f t="shared" si="2"/>
        <v>/personnel/gracelyn-cabunag.jpg</v>
      </c>
      <c r="W19" s="6" t="s">
        <v>9</v>
      </c>
    </row>
    <row r="20" spans="1:23">
      <c r="A20" s="5">
        <v>19</v>
      </c>
      <c r="B20" s="5" t="s">
        <v>117</v>
      </c>
      <c r="C20" s="5" t="s">
        <v>143</v>
      </c>
      <c r="D20" s="5" t="s">
        <v>82</v>
      </c>
      <c r="E20" s="5" t="str">
        <f t="shared" si="0"/>
        <v>R.</v>
      </c>
      <c r="F20" s="5"/>
      <c r="G20" s="5" t="str">
        <f t="shared" si="3"/>
        <v>Hector R. Cabanca</v>
      </c>
      <c r="H20" s="5" t="s">
        <v>10</v>
      </c>
      <c r="I20" s="10" t="s">
        <v>328</v>
      </c>
      <c r="J20" s="5"/>
      <c r="K20" s="5"/>
      <c r="L20" s="5"/>
      <c r="M20" s="5"/>
      <c r="N20" s="6" t="s">
        <v>13</v>
      </c>
      <c r="O20" s="5" t="s">
        <v>11</v>
      </c>
      <c r="P20" s="6" t="s">
        <v>343</v>
      </c>
      <c r="Q20" s="6"/>
      <c r="R20" s="6"/>
      <c r="S20" s="6"/>
      <c r="T20" s="6"/>
      <c r="U20" s="6"/>
      <c r="V20" s="5" t="str">
        <f t="shared" si="2"/>
        <v>/personnel/hector-cabanca.jpg</v>
      </c>
      <c r="W20" s="6" t="s">
        <v>9</v>
      </c>
    </row>
    <row r="21" spans="1:23">
      <c r="A21" s="5">
        <v>20</v>
      </c>
      <c r="B21" s="5" t="s">
        <v>118</v>
      </c>
      <c r="C21" s="5" t="s">
        <v>144</v>
      </c>
      <c r="D21" s="5" t="s">
        <v>83</v>
      </c>
      <c r="E21" s="5" t="str">
        <f t="shared" si="0"/>
        <v>A.</v>
      </c>
      <c r="F21" s="5"/>
      <c r="G21" s="5" t="str">
        <f t="shared" si="3"/>
        <v>Jeffrey A. Caberte</v>
      </c>
      <c r="H21" s="5" t="s">
        <v>16</v>
      </c>
      <c r="I21" s="10" t="s">
        <v>368</v>
      </c>
      <c r="J21" s="5"/>
      <c r="K21" s="5"/>
      <c r="L21" s="5"/>
      <c r="M21" s="5"/>
      <c r="N21" s="6" t="s">
        <v>13</v>
      </c>
      <c r="O21" s="5" t="s">
        <v>17</v>
      </c>
      <c r="P21" s="6" t="s">
        <v>343</v>
      </c>
      <c r="Q21" s="6" t="s">
        <v>368</v>
      </c>
      <c r="R21" s="6"/>
      <c r="S21" s="6"/>
      <c r="T21" s="6"/>
      <c r="U21" s="6"/>
      <c r="V21" s="5" t="str">
        <f t="shared" si="2"/>
        <v>/personnel/jeffrey-caberte.jpg</v>
      </c>
      <c r="W21" s="6" t="s">
        <v>9</v>
      </c>
    </row>
    <row r="22" spans="1:23">
      <c r="A22" s="5">
        <v>21</v>
      </c>
      <c r="B22" s="5" t="s">
        <v>119</v>
      </c>
      <c r="C22" s="5" t="s">
        <v>145</v>
      </c>
      <c r="D22" s="5" t="s">
        <v>84</v>
      </c>
      <c r="E22" s="5" t="str">
        <f t="shared" si="0"/>
        <v>L.</v>
      </c>
      <c r="F22" s="5"/>
      <c r="G22" s="5" t="str">
        <f t="shared" si="3"/>
        <v>Marilou L. Cabriana</v>
      </c>
      <c r="H22" s="5" t="s">
        <v>12</v>
      </c>
      <c r="I22" s="10" t="s">
        <v>368</v>
      </c>
      <c r="J22" s="5"/>
      <c r="K22" s="5"/>
      <c r="L22" s="5"/>
      <c r="M22" s="5"/>
      <c r="N22" s="6" t="s">
        <v>13</v>
      </c>
      <c r="O22" s="5" t="s">
        <v>17</v>
      </c>
      <c r="P22" s="6"/>
      <c r="Q22" s="6" t="s">
        <v>368</v>
      </c>
      <c r="R22" s="6"/>
      <c r="S22" s="6"/>
      <c r="T22" s="6"/>
      <c r="U22" s="6"/>
      <c r="V22" s="5" t="str">
        <f t="shared" si="2"/>
        <v>/personnel/marilou-cabriana.jpg</v>
      </c>
      <c r="W22" s="6" t="s">
        <v>9</v>
      </c>
    </row>
    <row r="23" spans="1:23">
      <c r="A23" s="5">
        <v>22</v>
      </c>
      <c r="B23" s="5" t="s">
        <v>120</v>
      </c>
      <c r="C23" s="5" t="s">
        <v>146</v>
      </c>
      <c r="D23" s="5" t="s">
        <v>85</v>
      </c>
      <c r="E23" s="5" t="str">
        <f t="shared" si="0"/>
        <v>B.</v>
      </c>
      <c r="F23" s="5"/>
      <c r="G23" s="5" t="str">
        <f>TRIM(_xlfn.TEXTJOIN(" ",TRUE,C23,IF(E23&lt;&gt;"",IF(RIGHT(E23,1)=".",E23,E23&amp;"."),D23),B23,F23))</f>
        <v>Jasmin B. Cabuenas</v>
      </c>
      <c r="H23" s="5" t="s">
        <v>262</v>
      </c>
      <c r="I23" s="10" t="s">
        <v>364</v>
      </c>
      <c r="J23" s="5"/>
      <c r="K23" s="5"/>
      <c r="L23" s="5"/>
      <c r="M23" s="5"/>
      <c r="N23" s="6" t="s">
        <v>7</v>
      </c>
      <c r="O23" s="5" t="s">
        <v>7</v>
      </c>
      <c r="P23" s="6" t="s">
        <v>388</v>
      </c>
      <c r="Q23" s="6" t="s">
        <v>364</v>
      </c>
      <c r="R23" s="6"/>
      <c r="S23" s="6"/>
      <c r="T23" s="6"/>
      <c r="U23" s="6"/>
      <c r="V23" s="5" t="str">
        <f t="shared" si="2"/>
        <v>/personnel/jasmin-cabuenas.jpg</v>
      </c>
      <c r="W23" s="6" t="s">
        <v>9</v>
      </c>
    </row>
    <row r="24" spans="1:23">
      <c r="A24" s="5">
        <v>23</v>
      </c>
      <c r="B24" s="5" t="s">
        <v>121</v>
      </c>
      <c r="C24" s="5" t="s">
        <v>147</v>
      </c>
      <c r="D24" s="5" t="s">
        <v>86</v>
      </c>
      <c r="E24" s="5" t="str">
        <f t="shared" si="0"/>
        <v>C.</v>
      </c>
      <c r="F24" s="5"/>
      <c r="G24" s="5" t="str">
        <f t="shared" si="3"/>
        <v>Elsa C. Calunod</v>
      </c>
      <c r="H24" s="5" t="s">
        <v>12</v>
      </c>
      <c r="I24" s="10" t="s">
        <v>369</v>
      </c>
      <c r="J24" s="5"/>
      <c r="K24" s="5"/>
      <c r="L24" s="5"/>
      <c r="M24" s="5"/>
      <c r="N24" s="6" t="s">
        <v>13</v>
      </c>
      <c r="O24" s="5" t="s">
        <v>17</v>
      </c>
      <c r="P24" s="6" t="s">
        <v>334</v>
      </c>
      <c r="Q24" s="6" t="s">
        <v>369</v>
      </c>
      <c r="R24" s="6"/>
      <c r="S24" s="6"/>
      <c r="T24" s="6"/>
      <c r="U24" s="6"/>
      <c r="V24" s="5" t="str">
        <f t="shared" si="2"/>
        <v>/personnel/elsa-calunod.jpg</v>
      </c>
      <c r="W24" s="6" t="s">
        <v>9</v>
      </c>
    </row>
    <row r="25" spans="1:23">
      <c r="A25" s="5">
        <v>24</v>
      </c>
      <c r="B25" s="5" t="s">
        <v>122</v>
      </c>
      <c r="C25" s="5" t="s">
        <v>148</v>
      </c>
      <c r="D25" s="5" t="s">
        <v>87</v>
      </c>
      <c r="E25" s="5" t="str">
        <f t="shared" si="0"/>
        <v>L.</v>
      </c>
      <c r="F25" s="5"/>
      <c r="G25" s="5" t="str">
        <f t="shared" si="3"/>
        <v>Leslyn Rose L. Camero</v>
      </c>
      <c r="H25" s="5" t="s">
        <v>12</v>
      </c>
      <c r="I25" s="10" t="s">
        <v>368</v>
      </c>
      <c r="J25" s="5"/>
      <c r="K25" s="5"/>
      <c r="L25" s="5"/>
      <c r="M25" s="5"/>
      <c r="N25" s="6" t="s">
        <v>13</v>
      </c>
      <c r="O25" s="5" t="s">
        <v>17</v>
      </c>
      <c r="P25" s="6" t="s">
        <v>339</v>
      </c>
      <c r="Q25" s="6" t="s">
        <v>368</v>
      </c>
      <c r="R25" s="6"/>
      <c r="S25" s="6"/>
      <c r="T25" s="6"/>
      <c r="U25" s="6"/>
      <c r="V25" s="5" t="str">
        <f t="shared" si="2"/>
        <v>/personnel/leslyn-rose-camero.jpg</v>
      </c>
      <c r="W25" s="6" t="s">
        <v>9</v>
      </c>
    </row>
    <row r="26" spans="1:23">
      <c r="A26" s="5">
        <v>25</v>
      </c>
      <c r="B26" s="5" t="s">
        <v>123</v>
      </c>
      <c r="C26" s="5" t="s">
        <v>149</v>
      </c>
      <c r="D26" s="5" t="s">
        <v>76</v>
      </c>
      <c r="E26" s="5" t="str">
        <f t="shared" si="0"/>
        <v>L.</v>
      </c>
      <c r="F26" s="5"/>
      <c r="G26" s="5" t="str">
        <f t="shared" si="3"/>
        <v>Dawn Camille L. Caparida</v>
      </c>
      <c r="H26" s="5" t="s">
        <v>260</v>
      </c>
      <c r="I26" s="10" t="s">
        <v>378</v>
      </c>
      <c r="J26" s="5"/>
      <c r="K26" s="5"/>
      <c r="L26" s="5"/>
      <c r="M26" s="5"/>
      <c r="N26" s="6" t="s">
        <v>7</v>
      </c>
      <c r="O26" s="5" t="s">
        <v>17</v>
      </c>
      <c r="P26" s="6" t="s">
        <v>388</v>
      </c>
      <c r="Q26" s="6" t="s">
        <v>364</v>
      </c>
      <c r="R26" s="6"/>
      <c r="S26" s="6"/>
      <c r="T26" s="6"/>
      <c r="U26" s="6"/>
      <c r="V26" s="5" t="str">
        <f t="shared" si="2"/>
        <v>/personnel/dawn-camille-caparida.jpg</v>
      </c>
      <c r="W26" s="6" t="s">
        <v>9</v>
      </c>
    </row>
    <row r="27" spans="1:23">
      <c r="A27" s="5">
        <v>26</v>
      </c>
      <c r="B27" s="5" t="s">
        <v>105</v>
      </c>
      <c r="C27" s="5" t="s">
        <v>150</v>
      </c>
      <c r="D27" s="5"/>
      <c r="E27" s="5" t="str">
        <f t="shared" si="0"/>
        <v/>
      </c>
      <c r="F27" s="5"/>
      <c r="G27" s="5" t="str">
        <f t="shared" si="3"/>
        <v>Lourence Capa</v>
      </c>
      <c r="H27" s="5" t="s">
        <v>16</v>
      </c>
      <c r="I27" s="10" t="s">
        <v>368</v>
      </c>
      <c r="J27" s="5"/>
      <c r="K27" s="5"/>
      <c r="L27" s="5"/>
      <c r="M27" s="5"/>
      <c r="N27" s="6" t="s">
        <v>13</v>
      </c>
      <c r="O27" s="5" t="s">
        <v>17</v>
      </c>
      <c r="P27" s="6" t="s">
        <v>386</v>
      </c>
      <c r="Q27" s="6" t="s">
        <v>368</v>
      </c>
      <c r="R27" s="6"/>
      <c r="S27" s="6"/>
      <c r="T27" s="6"/>
      <c r="U27" s="6"/>
      <c r="V27" s="5" t="str">
        <f t="shared" si="2"/>
        <v>/personnel/lourence-capa.jpg</v>
      </c>
      <c r="W27" s="6" t="s">
        <v>9</v>
      </c>
    </row>
    <row r="28" spans="1:23">
      <c r="A28" s="5">
        <v>27</v>
      </c>
      <c r="B28" s="5" t="s">
        <v>124</v>
      </c>
      <c r="C28" s="5" t="s">
        <v>141</v>
      </c>
      <c r="D28" s="5" t="s">
        <v>88</v>
      </c>
      <c r="E28" s="5" t="str">
        <f t="shared" si="0"/>
        <v>G.</v>
      </c>
      <c r="F28" s="5"/>
      <c r="G28" s="5" t="str">
        <f t="shared" si="3"/>
        <v>Joan G. Cavite</v>
      </c>
      <c r="H28" s="5" t="s">
        <v>12</v>
      </c>
      <c r="I28" s="10" t="s">
        <v>368</v>
      </c>
      <c r="J28" s="5"/>
      <c r="K28" s="5"/>
      <c r="L28" s="5"/>
      <c r="M28" s="5"/>
      <c r="N28" s="6" t="s">
        <v>13</v>
      </c>
      <c r="O28" s="5" t="s">
        <v>17</v>
      </c>
      <c r="P28" s="6" t="s">
        <v>341</v>
      </c>
      <c r="Q28" s="6" t="s">
        <v>368</v>
      </c>
      <c r="R28" s="6"/>
      <c r="S28" s="6"/>
      <c r="T28" s="6"/>
      <c r="U28" s="6"/>
      <c r="V28" s="5" t="str">
        <f t="shared" si="2"/>
        <v>/personnel/joan-cavite.jpg</v>
      </c>
      <c r="W28" s="6" t="s">
        <v>9</v>
      </c>
    </row>
    <row r="29" spans="1:23">
      <c r="A29" s="5">
        <v>28</v>
      </c>
      <c r="B29" s="5" t="s">
        <v>125</v>
      </c>
      <c r="C29" s="5" t="s">
        <v>60</v>
      </c>
      <c r="D29" s="5" t="s">
        <v>89</v>
      </c>
      <c r="E29" s="5" t="str">
        <f t="shared" si="0"/>
        <v>C.</v>
      </c>
      <c r="F29" s="5" t="s">
        <v>55</v>
      </c>
      <c r="G29" s="5" t="str">
        <f t="shared" si="3"/>
        <v>Joseph C. Dagaraga Jr.</v>
      </c>
      <c r="H29" s="5" t="s">
        <v>270</v>
      </c>
      <c r="I29" s="10" t="s">
        <v>368</v>
      </c>
      <c r="J29" s="5"/>
      <c r="K29" s="5"/>
      <c r="L29" s="5"/>
      <c r="M29" s="5"/>
      <c r="N29" s="6" t="s">
        <v>13</v>
      </c>
      <c r="O29" s="5" t="s">
        <v>14</v>
      </c>
      <c r="P29" s="6" t="s">
        <v>386</v>
      </c>
      <c r="Q29" s="6" t="s">
        <v>368</v>
      </c>
      <c r="R29" s="6"/>
      <c r="S29" s="6"/>
      <c r="T29" s="6"/>
      <c r="U29" s="6"/>
      <c r="V29" s="5" t="str">
        <f t="shared" si="2"/>
        <v>/personnel/joseph-dagaraga.jpg</v>
      </c>
      <c r="W29" s="6" t="s">
        <v>9</v>
      </c>
    </row>
    <row r="30" spans="1:23">
      <c r="A30" s="5">
        <v>29</v>
      </c>
      <c r="B30" s="5" t="s">
        <v>151</v>
      </c>
      <c r="C30" s="5" t="s">
        <v>152</v>
      </c>
      <c r="D30" s="5" t="s">
        <v>90</v>
      </c>
      <c r="E30" s="5" t="str">
        <f t="shared" si="0"/>
        <v>L.</v>
      </c>
      <c r="F30" s="5"/>
      <c r="G30" s="5" t="str">
        <f t="shared" si="3"/>
        <v>Carolyn L. Delos Reyes</v>
      </c>
      <c r="H30" s="5" t="s">
        <v>12</v>
      </c>
      <c r="I30" s="10" t="s">
        <v>369</v>
      </c>
      <c r="J30" s="5"/>
      <c r="K30" s="5"/>
      <c r="L30" s="5"/>
      <c r="M30" s="5"/>
      <c r="N30" s="6" t="s">
        <v>13</v>
      </c>
      <c r="O30" s="5" t="s">
        <v>17</v>
      </c>
      <c r="P30" s="6" t="s">
        <v>342</v>
      </c>
      <c r="Q30" s="6" t="s">
        <v>369</v>
      </c>
      <c r="R30" s="6"/>
      <c r="S30" s="6"/>
      <c r="T30" s="6"/>
      <c r="U30" s="6"/>
      <c r="V30" s="5" t="str">
        <f t="shared" si="2"/>
        <v>/personnel/carolyn-delos-reyes.jpg</v>
      </c>
      <c r="W30" s="6" t="s">
        <v>9</v>
      </c>
    </row>
    <row r="31" spans="1:23">
      <c r="A31" s="5">
        <v>30</v>
      </c>
      <c r="B31" s="5" t="s">
        <v>126</v>
      </c>
      <c r="C31" s="5" t="s">
        <v>166</v>
      </c>
      <c r="D31" s="5" t="s">
        <v>91</v>
      </c>
      <c r="E31" s="5" t="str">
        <f t="shared" si="0"/>
        <v>R.</v>
      </c>
      <c r="F31" s="5"/>
      <c r="G31" s="5" t="str">
        <f t="shared" si="3"/>
        <v>Lucille R. Echavez</v>
      </c>
      <c r="H31" s="5" t="s">
        <v>16</v>
      </c>
      <c r="I31" s="10" t="s">
        <v>369</v>
      </c>
      <c r="J31" s="5"/>
      <c r="K31" s="5"/>
      <c r="L31" s="5"/>
      <c r="M31" s="5"/>
      <c r="N31" s="6" t="s">
        <v>13</v>
      </c>
      <c r="O31" s="5" t="s">
        <v>17</v>
      </c>
      <c r="P31" s="6" t="s">
        <v>343</v>
      </c>
      <c r="Q31" s="6" t="s">
        <v>369</v>
      </c>
      <c r="R31" s="6"/>
      <c r="S31" s="6"/>
      <c r="T31" s="6"/>
      <c r="U31" s="6"/>
      <c r="V31" s="5" t="str">
        <f t="shared" si="2"/>
        <v>/personnel/lucille-echavez.jpg</v>
      </c>
      <c r="W31" s="6" t="s">
        <v>9</v>
      </c>
    </row>
    <row r="32" spans="1:23">
      <c r="A32" s="5">
        <v>31</v>
      </c>
      <c r="B32" s="5" t="s">
        <v>127</v>
      </c>
      <c r="C32" s="5" t="s">
        <v>167</v>
      </c>
      <c r="D32" s="5" t="s">
        <v>92</v>
      </c>
      <c r="E32" s="5" t="str">
        <f t="shared" si="0"/>
        <v>C.</v>
      </c>
      <c r="F32" s="5"/>
      <c r="G32" s="5" t="str">
        <f t="shared" si="3"/>
        <v>Benerando C. Erediano</v>
      </c>
      <c r="H32" s="5" t="s">
        <v>270</v>
      </c>
      <c r="I32" s="10" t="s">
        <v>279</v>
      </c>
      <c r="J32" s="5"/>
      <c r="K32" s="5"/>
      <c r="L32" s="5"/>
      <c r="M32" s="5"/>
      <c r="N32" s="6" t="s">
        <v>13</v>
      </c>
      <c r="O32" s="5" t="s">
        <v>14</v>
      </c>
      <c r="P32" s="6" t="s">
        <v>390</v>
      </c>
      <c r="Q32" s="6" t="s">
        <v>365</v>
      </c>
      <c r="R32" s="6"/>
      <c r="S32" s="6"/>
      <c r="T32" s="6"/>
      <c r="U32" s="6"/>
      <c r="V32" s="5" t="str">
        <f t="shared" si="2"/>
        <v>/personnel/benerando-erediano.jpg</v>
      </c>
      <c r="W32" s="6" t="s">
        <v>9</v>
      </c>
    </row>
    <row r="33" spans="1:23">
      <c r="A33" s="5">
        <v>32</v>
      </c>
      <c r="B33" s="5" t="s">
        <v>128</v>
      </c>
      <c r="C33" s="5" t="s">
        <v>168</v>
      </c>
      <c r="D33" s="5" t="s">
        <v>93</v>
      </c>
      <c r="E33" s="5" t="str">
        <f t="shared" si="0"/>
        <v>A.</v>
      </c>
      <c r="F33" s="5"/>
      <c r="G33" s="5" t="str">
        <f t="shared" si="3"/>
        <v>Metchie Gay A. Gastanes</v>
      </c>
      <c r="H33" s="5" t="s">
        <v>244</v>
      </c>
      <c r="I33" s="10" t="s">
        <v>367</v>
      </c>
      <c r="J33" s="5"/>
      <c r="K33" s="5"/>
      <c r="L33" s="5"/>
      <c r="M33" s="5"/>
      <c r="N33" s="6" t="s">
        <v>13</v>
      </c>
      <c r="O33" s="5" t="s">
        <v>17</v>
      </c>
      <c r="P33" s="6" t="s">
        <v>341</v>
      </c>
      <c r="Q33" s="6" t="s">
        <v>367</v>
      </c>
      <c r="R33" s="6"/>
      <c r="S33" s="6"/>
      <c r="T33" s="6"/>
      <c r="U33" s="6"/>
      <c r="V33" s="5" t="str">
        <f t="shared" si="2"/>
        <v>/personnel/metchie-gay-gastanes.jpg</v>
      </c>
      <c r="W33" s="6" t="s">
        <v>9</v>
      </c>
    </row>
    <row r="34" spans="1:23">
      <c r="A34" s="5">
        <v>33</v>
      </c>
      <c r="B34" s="5" t="s">
        <v>129</v>
      </c>
      <c r="C34" s="5" t="s">
        <v>146</v>
      </c>
      <c r="D34" s="5" t="s">
        <v>94</v>
      </c>
      <c r="E34" s="5" t="str">
        <f t="shared" si="0"/>
        <v>B.</v>
      </c>
      <c r="F34" s="5"/>
      <c r="G34" s="5" t="str">
        <f t="shared" si="3"/>
        <v>Jasmin B. Gerodias</v>
      </c>
      <c r="H34" s="5" t="s">
        <v>12</v>
      </c>
      <c r="I34" s="10" t="s">
        <v>384</v>
      </c>
      <c r="J34" s="5"/>
      <c r="K34" s="5"/>
      <c r="L34" s="5"/>
      <c r="M34" s="5"/>
      <c r="N34" s="6" t="s">
        <v>13</v>
      </c>
      <c r="O34" s="5" t="s">
        <v>17</v>
      </c>
      <c r="P34" s="6" t="s">
        <v>344</v>
      </c>
      <c r="Q34" s="6" t="s">
        <v>365</v>
      </c>
      <c r="R34" s="6"/>
      <c r="S34" s="6"/>
      <c r="T34" s="6"/>
      <c r="U34" s="6"/>
      <c r="V34" s="5" t="str">
        <f t="shared" si="2"/>
        <v>/personnel/jasmin-gerodias.jpg</v>
      </c>
      <c r="W34" s="6" t="s">
        <v>9</v>
      </c>
    </row>
    <row r="35" spans="1:23">
      <c r="A35" s="5">
        <v>34</v>
      </c>
      <c r="B35" s="5" t="s">
        <v>130</v>
      </c>
      <c r="C35" s="5" t="s">
        <v>169</v>
      </c>
      <c r="D35" s="5" t="s">
        <v>95</v>
      </c>
      <c r="E35" s="5" t="str">
        <f t="shared" si="0"/>
        <v>D.</v>
      </c>
      <c r="F35" s="5"/>
      <c r="G35" s="5" t="str">
        <f t="shared" si="3"/>
        <v>Jeralyn D. Gerra</v>
      </c>
      <c r="H35" s="5" t="s">
        <v>12</v>
      </c>
      <c r="I35" s="10" t="s">
        <v>368</v>
      </c>
      <c r="J35" s="5"/>
      <c r="K35" s="5"/>
      <c r="L35" s="5"/>
      <c r="M35" s="5"/>
      <c r="N35" s="6" t="s">
        <v>13</v>
      </c>
      <c r="O35" s="5" t="s">
        <v>17</v>
      </c>
      <c r="P35" s="6" t="s">
        <v>334</v>
      </c>
      <c r="Q35" s="6" t="s">
        <v>368</v>
      </c>
      <c r="R35" s="6"/>
      <c r="S35" s="6"/>
      <c r="T35" s="6"/>
      <c r="U35" s="6"/>
      <c r="V35" s="5" t="str">
        <f t="shared" si="2"/>
        <v>/personnel/jeralyn-gerra.jpg</v>
      </c>
      <c r="W35" s="6" t="s">
        <v>9</v>
      </c>
    </row>
    <row r="36" spans="1:23">
      <c r="A36" s="5">
        <v>35</v>
      </c>
      <c r="B36" s="5" t="s">
        <v>171</v>
      </c>
      <c r="C36" s="5" t="s">
        <v>170</v>
      </c>
      <c r="D36" s="5" t="s">
        <v>95</v>
      </c>
      <c r="E36" s="5" t="str">
        <f t="shared" si="0"/>
        <v>D.</v>
      </c>
      <c r="F36" s="5"/>
      <c r="G36" s="5" t="str">
        <f t="shared" si="3"/>
        <v>Genesa D. Goc-ong</v>
      </c>
      <c r="H36" s="5" t="s">
        <v>241</v>
      </c>
      <c r="I36" s="10" t="s">
        <v>368</v>
      </c>
      <c r="J36" s="5"/>
      <c r="K36" s="5"/>
      <c r="L36" s="5"/>
      <c r="M36" s="5"/>
      <c r="N36" s="6" t="s">
        <v>13</v>
      </c>
      <c r="O36" s="5" t="s">
        <v>17</v>
      </c>
      <c r="P36" s="6" t="s">
        <v>342</v>
      </c>
      <c r="Q36" s="6" t="s">
        <v>368</v>
      </c>
      <c r="R36" s="6"/>
      <c r="S36" s="6"/>
      <c r="T36" s="6"/>
      <c r="U36" s="6"/>
      <c r="V36" s="5" t="str">
        <f t="shared" si="2"/>
        <v>/personnel/genesa-goc-ong.jpg</v>
      </c>
      <c r="W36" s="6" t="s">
        <v>9</v>
      </c>
    </row>
    <row r="37" spans="1:23">
      <c r="A37" s="5">
        <v>36</v>
      </c>
      <c r="B37" s="5" t="s">
        <v>131</v>
      </c>
      <c r="C37" s="5" t="s">
        <v>172</v>
      </c>
      <c r="D37" s="5" t="s">
        <v>96</v>
      </c>
      <c r="E37" s="5" t="str">
        <f t="shared" si="0"/>
        <v>D.</v>
      </c>
      <c r="F37" s="5"/>
      <c r="G37" s="5" t="str">
        <f t="shared" si="3"/>
        <v>Janelou D. Gomez</v>
      </c>
      <c r="H37" s="5" t="s">
        <v>241</v>
      </c>
      <c r="I37" s="10" t="s">
        <v>369</v>
      </c>
      <c r="J37" s="5"/>
      <c r="K37" s="5"/>
      <c r="L37" s="5"/>
      <c r="M37" s="5"/>
      <c r="N37" s="6" t="s">
        <v>13</v>
      </c>
      <c r="O37" s="5" t="s">
        <v>17</v>
      </c>
      <c r="P37" s="6" t="s">
        <v>339</v>
      </c>
      <c r="Q37" s="6" t="s">
        <v>369</v>
      </c>
      <c r="R37" s="6"/>
      <c r="S37" s="6"/>
      <c r="T37" s="6"/>
      <c r="U37" s="6"/>
      <c r="V37" s="5" t="str">
        <f t="shared" si="2"/>
        <v>/personnel/janelou-gomez.jpg</v>
      </c>
      <c r="W37" s="6" t="s">
        <v>9</v>
      </c>
    </row>
    <row r="38" spans="1:23">
      <c r="A38" s="5">
        <v>37</v>
      </c>
      <c r="B38" s="5" t="s">
        <v>132</v>
      </c>
      <c r="C38" s="5" t="s">
        <v>173</v>
      </c>
      <c r="D38" s="5" t="s">
        <v>91</v>
      </c>
      <c r="E38" s="5" t="str">
        <f t="shared" ref="E38:E65" si="4">IF(D38="","",LEFT(TRIM(D38),1)&amp;".")</f>
        <v>R.</v>
      </c>
      <c r="F38" s="5"/>
      <c r="G38" s="5" t="str">
        <f t="shared" ref="G38:G65" si="5">TRIM(_xlfn.TEXTJOIN(" ",TRUE,C38,IF(E38&lt;&gt;"",IF(RIGHT(E38,1)=".",E38,E38&amp;"."),D38),B38,F38))</f>
        <v>Junnelyn R. Herbito</v>
      </c>
      <c r="H38" s="5" t="s">
        <v>12</v>
      </c>
      <c r="I38" s="10" t="s">
        <v>368</v>
      </c>
      <c r="J38" s="5"/>
      <c r="K38" s="5"/>
      <c r="L38" s="5"/>
      <c r="M38" s="5"/>
      <c r="N38" s="6" t="s">
        <v>13</v>
      </c>
      <c r="O38" s="5" t="s">
        <v>17</v>
      </c>
      <c r="P38" s="6" t="s">
        <v>334</v>
      </c>
      <c r="Q38" s="6" t="s">
        <v>368</v>
      </c>
      <c r="R38" s="6"/>
      <c r="S38" s="6"/>
      <c r="T38" s="6"/>
      <c r="U38" s="6"/>
      <c r="V38" s="5" t="str">
        <f t="shared" si="2"/>
        <v>/personnel/junnelyn-herbito.jpg</v>
      </c>
      <c r="W38" s="6" t="s">
        <v>9</v>
      </c>
    </row>
    <row r="39" spans="1:23">
      <c r="A39" s="5">
        <v>38</v>
      </c>
      <c r="B39" s="5" t="s">
        <v>153</v>
      </c>
      <c r="C39" s="5" t="s">
        <v>174</v>
      </c>
      <c r="D39" s="5" t="s">
        <v>97</v>
      </c>
      <c r="E39" s="5" t="str">
        <f t="shared" si="4"/>
        <v>T.</v>
      </c>
      <c r="F39" s="5"/>
      <c r="G39" s="5" t="str">
        <f t="shared" si="5"/>
        <v>Roxan Mae T. Jao</v>
      </c>
      <c r="H39" s="5" t="s">
        <v>241</v>
      </c>
      <c r="I39" s="10" t="s">
        <v>368</v>
      </c>
      <c r="J39" s="5"/>
      <c r="K39" s="5"/>
      <c r="L39" s="5"/>
      <c r="M39" s="5"/>
      <c r="N39" s="6" t="s">
        <v>13</v>
      </c>
      <c r="O39" s="5" t="s">
        <v>17</v>
      </c>
      <c r="P39" s="6" t="s">
        <v>334</v>
      </c>
      <c r="Q39" s="6" t="s">
        <v>368</v>
      </c>
      <c r="R39" s="6"/>
      <c r="S39" s="6"/>
      <c r="T39" s="6"/>
      <c r="U39" s="6"/>
      <c r="V39" s="5" t="str">
        <f t="shared" si="2"/>
        <v>/personnel/roxan-mae-jao.jpg</v>
      </c>
      <c r="W39" s="6" t="s">
        <v>9</v>
      </c>
    </row>
    <row r="40" spans="1:23">
      <c r="A40" s="5">
        <v>39</v>
      </c>
      <c r="B40" s="5" t="s">
        <v>154</v>
      </c>
      <c r="C40" s="5" t="s">
        <v>175</v>
      </c>
      <c r="D40" s="5" t="s">
        <v>98</v>
      </c>
      <c r="E40" s="5" t="str">
        <f t="shared" si="4"/>
        <v>H.</v>
      </c>
      <c r="F40" s="5"/>
      <c r="G40" s="5" t="str">
        <f t="shared" si="5"/>
        <v>Fernando H. Laspiñas</v>
      </c>
      <c r="H40" s="5" t="s">
        <v>12</v>
      </c>
      <c r="I40" s="10" t="s">
        <v>369</v>
      </c>
      <c r="J40" s="5"/>
      <c r="K40" s="5"/>
      <c r="L40" s="5"/>
      <c r="M40" s="5"/>
      <c r="N40" s="6" t="s">
        <v>13</v>
      </c>
      <c r="O40" s="5" t="s">
        <v>17</v>
      </c>
      <c r="P40" s="6"/>
      <c r="Q40" s="6" t="s">
        <v>369</v>
      </c>
      <c r="R40" s="6"/>
      <c r="S40" s="6"/>
      <c r="T40" s="6"/>
      <c r="U40" s="6"/>
      <c r="V40" s="5" t="str">
        <f t="shared" si="2"/>
        <v>/personnel/fernando-laspiñas.jpg</v>
      </c>
      <c r="W40" s="6" t="s">
        <v>9</v>
      </c>
    </row>
    <row r="41" spans="1:23">
      <c r="A41" s="5">
        <v>40</v>
      </c>
      <c r="B41" s="5" t="s">
        <v>155</v>
      </c>
      <c r="C41" s="5" t="s">
        <v>184</v>
      </c>
      <c r="D41" s="5" t="s">
        <v>99</v>
      </c>
      <c r="E41" s="5" t="str">
        <f t="shared" si="4"/>
        <v>B.</v>
      </c>
      <c r="F41" s="5"/>
      <c r="G41" s="5" t="str">
        <f t="shared" si="5"/>
        <v>Nerisa B. Lim</v>
      </c>
      <c r="H41" s="5" t="s">
        <v>12</v>
      </c>
      <c r="I41" s="10" t="s">
        <v>369</v>
      </c>
      <c r="J41" s="5"/>
      <c r="K41" s="5"/>
      <c r="L41" s="5"/>
      <c r="M41" s="5"/>
      <c r="N41" s="6" t="s">
        <v>13</v>
      </c>
      <c r="O41" s="5" t="s">
        <v>17</v>
      </c>
      <c r="P41" s="6" t="s">
        <v>339</v>
      </c>
      <c r="Q41" s="6" t="s">
        <v>369</v>
      </c>
      <c r="R41" s="6"/>
      <c r="S41" s="6"/>
      <c r="T41" s="6"/>
      <c r="U41" s="6"/>
      <c r="V41" s="5" t="str">
        <f t="shared" si="2"/>
        <v>/personnel/nerisa-lim.jpg</v>
      </c>
      <c r="W41" s="6" t="s">
        <v>9</v>
      </c>
    </row>
    <row r="42" spans="1:23">
      <c r="A42" s="5">
        <v>41</v>
      </c>
      <c r="B42" s="5" t="s">
        <v>156</v>
      </c>
      <c r="C42" s="5" t="s">
        <v>185</v>
      </c>
      <c r="D42" s="5"/>
      <c r="E42" s="5" t="str">
        <f t="shared" si="4"/>
        <v/>
      </c>
      <c r="F42" s="5"/>
      <c r="G42" s="5" t="str">
        <f t="shared" si="5"/>
        <v>Carl Loreto</v>
      </c>
      <c r="H42" s="5" t="s">
        <v>12</v>
      </c>
      <c r="I42" s="10" t="s">
        <v>369</v>
      </c>
      <c r="J42" s="5"/>
      <c r="K42" s="5"/>
      <c r="L42" s="5"/>
      <c r="M42" s="5"/>
      <c r="N42" s="6" t="s">
        <v>13</v>
      </c>
      <c r="O42" s="5" t="s">
        <v>17</v>
      </c>
      <c r="P42" s="6"/>
      <c r="Q42" s="6" t="s">
        <v>369</v>
      </c>
      <c r="R42" s="6"/>
      <c r="S42" s="6"/>
      <c r="T42" s="6"/>
      <c r="U42" s="6"/>
      <c r="V42" s="5" t="str">
        <f t="shared" si="2"/>
        <v>/personnel/carl-loreto.jpg</v>
      </c>
      <c r="W42" s="6" t="s">
        <v>9</v>
      </c>
    </row>
    <row r="43" spans="1:23">
      <c r="A43" s="5">
        <v>42</v>
      </c>
      <c r="B43" s="5" t="s">
        <v>157</v>
      </c>
      <c r="C43" s="5" t="s">
        <v>186</v>
      </c>
      <c r="D43" s="5" t="s">
        <v>100</v>
      </c>
      <c r="E43" s="5" t="str">
        <f t="shared" si="4"/>
        <v>M.</v>
      </c>
      <c r="F43" s="5"/>
      <c r="G43" s="5" t="str">
        <f t="shared" si="5"/>
        <v>Lyka M. Mabanag</v>
      </c>
      <c r="H43" s="5" t="s">
        <v>270</v>
      </c>
      <c r="I43" s="10" t="s">
        <v>383</v>
      </c>
      <c r="J43" s="5"/>
      <c r="K43" s="5"/>
      <c r="L43" s="5"/>
      <c r="M43" s="5"/>
      <c r="N43" s="6" t="s">
        <v>13</v>
      </c>
      <c r="O43" s="5" t="s">
        <v>14</v>
      </c>
      <c r="P43" s="6"/>
      <c r="Q43" s="6" t="s">
        <v>365</v>
      </c>
      <c r="R43" s="6"/>
      <c r="S43" s="6"/>
      <c r="T43" s="6"/>
      <c r="U43" s="6"/>
      <c r="V43" s="5" t="str">
        <f t="shared" si="2"/>
        <v>/personnel/lyka-mabanag.jpg</v>
      </c>
      <c r="W43" s="6" t="s">
        <v>9</v>
      </c>
    </row>
    <row r="44" spans="1:23">
      <c r="A44" s="5">
        <v>43</v>
      </c>
      <c r="B44" s="5" t="s">
        <v>158</v>
      </c>
      <c r="C44" s="5" t="s">
        <v>187</v>
      </c>
      <c r="D44" s="5" t="s">
        <v>101</v>
      </c>
      <c r="E44" s="5" t="str">
        <f t="shared" si="4"/>
        <v>C.</v>
      </c>
      <c r="F44" s="5"/>
      <c r="G44" s="5" t="str">
        <f t="shared" si="5"/>
        <v>Richie Ryan C. Mabunay</v>
      </c>
      <c r="H44" s="5" t="s">
        <v>250</v>
      </c>
      <c r="I44" s="10" t="s">
        <v>380</v>
      </c>
      <c r="J44" s="5" t="s">
        <v>333</v>
      </c>
      <c r="K44" s="5"/>
      <c r="L44" s="5"/>
      <c r="M44" s="5" t="s">
        <v>332</v>
      </c>
      <c r="N44" s="6" t="s">
        <v>13</v>
      </c>
      <c r="O44" s="5" t="s">
        <v>14</v>
      </c>
      <c r="P44" s="6" t="s">
        <v>15</v>
      </c>
      <c r="Q44" s="6" t="s">
        <v>365</v>
      </c>
      <c r="R44" s="6"/>
      <c r="S44" s="6"/>
      <c r="T44" s="6"/>
      <c r="U44" s="6"/>
      <c r="V44" s="5" t="str">
        <f t="shared" si="2"/>
        <v>/personnel/richie-ryan-mabunay.jpg</v>
      </c>
      <c r="W44" s="6" t="s">
        <v>9</v>
      </c>
    </row>
    <row r="45" spans="1:23">
      <c r="A45" s="5">
        <v>44</v>
      </c>
      <c r="B45" s="5" t="s">
        <v>159</v>
      </c>
      <c r="C45" s="5" t="s">
        <v>188</v>
      </c>
      <c r="D45" s="5" t="s">
        <v>189</v>
      </c>
      <c r="E45" s="5" t="str">
        <f t="shared" si="4"/>
        <v>H.</v>
      </c>
      <c r="F45" s="5"/>
      <c r="G45" s="5" t="str">
        <f t="shared" si="5"/>
        <v>Maria Jeziel H. Macanin</v>
      </c>
      <c r="H45" s="5" t="s">
        <v>16</v>
      </c>
      <c r="I45" s="10" t="s">
        <v>369</v>
      </c>
      <c r="J45" s="5"/>
      <c r="K45" s="5"/>
      <c r="L45" s="5"/>
      <c r="M45" s="5"/>
      <c r="N45" s="6" t="s">
        <v>13</v>
      </c>
      <c r="O45" s="5" t="s">
        <v>17</v>
      </c>
      <c r="P45" s="6" t="s">
        <v>342</v>
      </c>
      <c r="Q45" s="6" t="s">
        <v>369</v>
      </c>
      <c r="R45" s="6"/>
      <c r="S45" s="6"/>
      <c r="T45" s="6"/>
      <c r="U45" s="6"/>
      <c r="V45" s="5" t="str">
        <f t="shared" si="2"/>
        <v>/personnel/maria-jeziel-macanin.jpg</v>
      </c>
      <c r="W45" s="6" t="s">
        <v>9</v>
      </c>
    </row>
    <row r="46" spans="1:23">
      <c r="A46" s="5">
        <v>45</v>
      </c>
      <c r="B46" s="5" t="s">
        <v>190</v>
      </c>
      <c r="C46" s="5" t="s">
        <v>191</v>
      </c>
      <c r="D46" s="5" t="s">
        <v>192</v>
      </c>
      <c r="E46" s="5" t="str">
        <f t="shared" si="4"/>
        <v>L.</v>
      </c>
      <c r="F46" s="5"/>
      <c r="G46" s="5" t="str">
        <f t="shared" si="5"/>
        <v>Jeralen L. Maloloy-on</v>
      </c>
      <c r="H46" s="5" t="s">
        <v>12</v>
      </c>
      <c r="I46" s="10" t="s">
        <v>368</v>
      </c>
      <c r="J46" s="5"/>
      <c r="K46" s="5"/>
      <c r="L46" s="5"/>
      <c r="M46" s="5"/>
      <c r="N46" s="6" t="s">
        <v>13</v>
      </c>
      <c r="O46" s="5" t="s">
        <v>17</v>
      </c>
      <c r="P46" s="6" t="s">
        <v>341</v>
      </c>
      <c r="Q46" s="6" t="s">
        <v>368</v>
      </c>
      <c r="R46" s="6"/>
      <c r="S46" s="6"/>
      <c r="T46" s="6"/>
      <c r="U46" s="6"/>
      <c r="V46" s="5" t="str">
        <f t="shared" si="2"/>
        <v>/personnel/jeralen-maloloy-on.jpg</v>
      </c>
      <c r="W46" s="6" t="s">
        <v>9</v>
      </c>
    </row>
    <row r="47" spans="1:23">
      <c r="A47" s="5">
        <v>46</v>
      </c>
      <c r="B47" s="5" t="s">
        <v>160</v>
      </c>
      <c r="C47" s="5" t="s">
        <v>193</v>
      </c>
      <c r="D47" s="5" t="s">
        <v>194</v>
      </c>
      <c r="E47" s="5" t="str">
        <f t="shared" si="4"/>
        <v>L.</v>
      </c>
      <c r="F47" s="5"/>
      <c r="G47" s="5" t="str">
        <f t="shared" si="5"/>
        <v>Elbert L. Misterio</v>
      </c>
      <c r="H47" s="5" t="s">
        <v>12</v>
      </c>
      <c r="I47" s="10" t="s">
        <v>369</v>
      </c>
      <c r="J47" s="5"/>
      <c r="K47" s="5"/>
      <c r="L47" s="5"/>
      <c r="M47" s="5"/>
      <c r="N47" s="6" t="s">
        <v>13</v>
      </c>
      <c r="O47" s="5" t="s">
        <v>17</v>
      </c>
      <c r="P47" s="6" t="s">
        <v>343</v>
      </c>
      <c r="Q47" s="6" t="s">
        <v>369</v>
      </c>
      <c r="R47" s="6"/>
      <c r="S47" s="6"/>
      <c r="T47" s="6"/>
      <c r="U47" s="6"/>
      <c r="V47" s="5" t="str">
        <f t="shared" si="2"/>
        <v>/personnel/elbert-misterio.jpg</v>
      </c>
      <c r="W47" s="6" t="s">
        <v>9</v>
      </c>
    </row>
    <row r="48" spans="1:23">
      <c r="A48" s="5">
        <v>47</v>
      </c>
      <c r="B48" s="5" t="s">
        <v>161</v>
      </c>
      <c r="C48" s="5" t="s">
        <v>195</v>
      </c>
      <c r="D48" s="5" t="s">
        <v>196</v>
      </c>
      <c r="E48" s="5" t="str">
        <f t="shared" si="4"/>
        <v>E.</v>
      </c>
      <c r="F48" s="5"/>
      <c r="G48" s="5" t="str">
        <f t="shared" si="5"/>
        <v>Joy E. Mortal</v>
      </c>
      <c r="H48" s="5" t="s">
        <v>241</v>
      </c>
      <c r="I48" s="10" t="s">
        <v>368</v>
      </c>
      <c r="J48" s="5"/>
      <c r="K48" s="5"/>
      <c r="L48" s="5"/>
      <c r="M48" s="5"/>
      <c r="N48" s="6" t="s">
        <v>13</v>
      </c>
      <c r="O48" s="5" t="s">
        <v>17</v>
      </c>
      <c r="P48" s="6"/>
      <c r="Q48" s="6" t="s">
        <v>368</v>
      </c>
      <c r="R48" s="6"/>
      <c r="S48" s="6"/>
      <c r="T48" s="6"/>
      <c r="U48" s="6"/>
      <c r="V48" s="5" t="str">
        <f t="shared" si="2"/>
        <v>/personnel/joy-mortal.jpg</v>
      </c>
      <c r="W48" s="6" t="s">
        <v>9</v>
      </c>
    </row>
    <row r="49" spans="1:23">
      <c r="A49" s="5">
        <v>48</v>
      </c>
      <c r="B49" s="5" t="s">
        <v>162</v>
      </c>
      <c r="C49" s="5" t="s">
        <v>197</v>
      </c>
      <c r="D49" s="5" t="s">
        <v>198</v>
      </c>
      <c r="E49" s="5" t="str">
        <f t="shared" si="4"/>
        <v>B.</v>
      </c>
      <c r="F49" s="5"/>
      <c r="G49" s="5" t="str">
        <f t="shared" si="5"/>
        <v>Claire B. Medillo</v>
      </c>
      <c r="H49" s="5" t="s">
        <v>12</v>
      </c>
      <c r="I49" s="10" t="s">
        <v>369</v>
      </c>
      <c r="J49" s="5"/>
      <c r="K49" s="5"/>
      <c r="L49" s="5"/>
      <c r="M49" s="5"/>
      <c r="N49" s="6" t="s">
        <v>13</v>
      </c>
      <c r="O49" s="5" t="s">
        <v>17</v>
      </c>
      <c r="P49" s="6"/>
      <c r="Q49" s="6" t="s">
        <v>369</v>
      </c>
      <c r="R49" s="6"/>
      <c r="S49" s="6"/>
      <c r="T49" s="6"/>
      <c r="U49" s="6"/>
      <c r="V49" s="5" t="str">
        <f t="shared" si="2"/>
        <v>/personnel/claire-medillo.jpg</v>
      </c>
      <c r="W49" s="6" t="s">
        <v>9</v>
      </c>
    </row>
    <row r="50" spans="1:23">
      <c r="A50" s="5">
        <v>49</v>
      </c>
      <c r="B50" s="5" t="s">
        <v>163</v>
      </c>
      <c r="C50" s="5" t="s">
        <v>199</v>
      </c>
      <c r="D50" s="5" t="s">
        <v>200</v>
      </c>
      <c r="E50" s="5" t="str">
        <f t="shared" si="4"/>
        <v>F.</v>
      </c>
      <c r="F50" s="5"/>
      <c r="G50" s="5" t="str">
        <f t="shared" si="5"/>
        <v>Gwendolyn F. Olo</v>
      </c>
      <c r="H50" s="5" t="s">
        <v>12</v>
      </c>
      <c r="I50" s="10" t="s">
        <v>368</v>
      </c>
      <c r="J50" s="5"/>
      <c r="K50" s="5"/>
      <c r="L50" s="5"/>
      <c r="M50" s="5"/>
      <c r="N50" s="6" t="s">
        <v>13</v>
      </c>
      <c r="O50" s="5" t="s">
        <v>17</v>
      </c>
      <c r="P50" s="6" t="s">
        <v>341</v>
      </c>
      <c r="Q50" s="6" t="s">
        <v>368</v>
      </c>
      <c r="R50" s="6"/>
      <c r="S50" s="6"/>
      <c r="T50" s="6"/>
      <c r="U50" s="6"/>
      <c r="V50" s="5" t="str">
        <f t="shared" si="2"/>
        <v>/personnel/gwendolyn-olo.jpg</v>
      </c>
      <c r="W50" s="6" t="s">
        <v>9</v>
      </c>
    </row>
    <row r="51" spans="1:23">
      <c r="A51" s="5">
        <v>50</v>
      </c>
      <c r="B51" s="5" t="s">
        <v>164</v>
      </c>
      <c r="C51" s="5" t="s">
        <v>201</v>
      </c>
      <c r="D51" s="5" t="s">
        <v>202</v>
      </c>
      <c r="E51" s="5" t="str">
        <f t="shared" si="4"/>
        <v>B.</v>
      </c>
      <c r="F51" s="5"/>
      <c r="G51" s="5" t="str">
        <f t="shared" si="5"/>
        <v>Jay Neil B. Oro</v>
      </c>
      <c r="H51" s="5" t="s">
        <v>12</v>
      </c>
      <c r="I51" s="10" t="s">
        <v>368</v>
      </c>
      <c r="J51" s="5"/>
      <c r="K51" s="5"/>
      <c r="L51" s="5"/>
      <c r="M51" s="5"/>
      <c r="N51" s="6" t="s">
        <v>13</v>
      </c>
      <c r="O51" s="5" t="s">
        <v>17</v>
      </c>
      <c r="P51" s="6"/>
      <c r="Q51" s="6" t="s">
        <v>368</v>
      </c>
      <c r="R51" s="6"/>
      <c r="S51" s="6"/>
      <c r="T51" s="6"/>
      <c r="U51" s="6"/>
      <c r="V51" s="5" t="str">
        <f t="shared" si="2"/>
        <v>/personnel/jay-neil-oro.jpg</v>
      </c>
      <c r="W51" s="6" t="s">
        <v>9</v>
      </c>
    </row>
    <row r="52" spans="1:23">
      <c r="A52" s="5">
        <v>51</v>
      </c>
      <c r="B52" s="5" t="s">
        <v>165</v>
      </c>
      <c r="C52" s="5" t="s">
        <v>203</v>
      </c>
      <c r="D52" s="5" t="s">
        <v>204</v>
      </c>
      <c r="E52" s="5" t="str">
        <f t="shared" si="4"/>
        <v>R.</v>
      </c>
      <c r="F52" s="5"/>
      <c r="G52" s="5" t="str">
        <f t="shared" si="5"/>
        <v>Glendale R. Orocay</v>
      </c>
      <c r="H52" s="5" t="s">
        <v>12</v>
      </c>
      <c r="I52" s="10" t="s">
        <v>368</v>
      </c>
      <c r="J52" s="5"/>
      <c r="K52" s="5"/>
      <c r="L52" s="5"/>
      <c r="M52" s="5"/>
      <c r="N52" s="6" t="s">
        <v>13</v>
      </c>
      <c r="O52" s="5" t="s">
        <v>14</v>
      </c>
      <c r="P52" s="6" t="s">
        <v>391</v>
      </c>
      <c r="Q52" s="6" t="s">
        <v>368</v>
      </c>
      <c r="R52" s="6"/>
      <c r="S52" s="6"/>
      <c r="T52" s="6"/>
      <c r="U52" s="6"/>
      <c r="V52" s="5" t="str">
        <f t="shared" si="2"/>
        <v>/personnel/glendale-orocay.jpg</v>
      </c>
      <c r="W52" s="6" t="s">
        <v>9</v>
      </c>
    </row>
    <row r="53" spans="1:23">
      <c r="A53" s="5">
        <v>52</v>
      </c>
      <c r="B53" s="5" t="s">
        <v>176</v>
      </c>
      <c r="C53" s="5" t="s">
        <v>57</v>
      </c>
      <c r="D53" s="5" t="s">
        <v>205</v>
      </c>
      <c r="E53" s="5" t="str">
        <f t="shared" si="4"/>
        <v>J.</v>
      </c>
      <c r="F53" s="5"/>
      <c r="G53" s="5" t="str">
        <f t="shared" si="5"/>
        <v>Marissa J. Pintuan</v>
      </c>
      <c r="H53" s="5" t="s">
        <v>16</v>
      </c>
      <c r="I53" s="10" t="s">
        <v>368</v>
      </c>
      <c r="J53" s="5"/>
      <c r="K53" s="5"/>
      <c r="L53" s="5"/>
      <c r="M53" s="5"/>
      <c r="N53" s="6" t="s">
        <v>13</v>
      </c>
      <c r="O53" s="5" t="s">
        <v>17</v>
      </c>
      <c r="P53" s="6" t="s">
        <v>386</v>
      </c>
      <c r="Q53" s="6" t="s">
        <v>368</v>
      </c>
      <c r="R53" s="6"/>
      <c r="S53" s="6"/>
      <c r="T53" s="6"/>
      <c r="U53" s="6"/>
      <c r="V53" s="5" t="str">
        <f t="shared" si="2"/>
        <v>/personnel/marissa-pintuan.jpg</v>
      </c>
      <c r="W53" s="6" t="s">
        <v>9</v>
      </c>
    </row>
    <row r="54" spans="1:23">
      <c r="A54" s="5">
        <v>53</v>
      </c>
      <c r="B54" s="5" t="s">
        <v>77</v>
      </c>
      <c r="C54" s="5" t="s">
        <v>206</v>
      </c>
      <c r="D54" s="5" t="s">
        <v>207</v>
      </c>
      <c r="E54" s="5" t="str">
        <f t="shared" si="4"/>
        <v>B.</v>
      </c>
      <c r="F54" s="5"/>
      <c r="G54" s="5" t="str">
        <f t="shared" si="5"/>
        <v>Ma. Lourdes B. Prajes</v>
      </c>
      <c r="H54" s="5" t="s">
        <v>12</v>
      </c>
      <c r="I54" s="10" t="s">
        <v>369</v>
      </c>
      <c r="J54" s="5"/>
      <c r="K54" s="5"/>
      <c r="L54" s="5"/>
      <c r="M54" s="5"/>
      <c r="N54" s="6" t="s">
        <v>13</v>
      </c>
      <c r="O54" s="5" t="s">
        <v>17</v>
      </c>
      <c r="P54" s="6" t="s">
        <v>389</v>
      </c>
      <c r="Q54" s="6" t="s">
        <v>369</v>
      </c>
      <c r="R54" s="6"/>
      <c r="S54" s="6"/>
      <c r="T54" s="6"/>
      <c r="U54" s="6"/>
      <c r="V54" s="5" t="str">
        <f t="shared" si="2"/>
        <v>/personnel/ma.-lourdes-prajes.jpg</v>
      </c>
      <c r="W54" s="6" t="s">
        <v>9</v>
      </c>
    </row>
    <row r="55" spans="1:23">
      <c r="A55" s="5">
        <v>54</v>
      </c>
      <c r="B55" s="5" t="s">
        <v>177</v>
      </c>
      <c r="C55" s="5" t="s">
        <v>208</v>
      </c>
      <c r="D55" s="5" t="s">
        <v>209</v>
      </c>
      <c r="E55" s="5" t="str">
        <f t="shared" si="4"/>
        <v>S.</v>
      </c>
      <c r="F55" s="5"/>
      <c r="G55" s="5" t="str">
        <f t="shared" si="5"/>
        <v>Bret Kalvin S. Primacio</v>
      </c>
      <c r="H55" s="5" t="s">
        <v>12</v>
      </c>
      <c r="I55" s="10" t="s">
        <v>368</v>
      </c>
      <c r="J55" s="5"/>
      <c r="K55" s="5"/>
      <c r="L55" s="5"/>
      <c r="M55" s="5"/>
      <c r="N55" s="6" t="s">
        <v>13</v>
      </c>
      <c r="O55" s="5" t="s">
        <v>17</v>
      </c>
      <c r="P55" s="6"/>
      <c r="Q55" s="6" t="s">
        <v>368</v>
      </c>
      <c r="R55" s="6"/>
      <c r="S55" s="6"/>
      <c r="T55" s="6"/>
      <c r="U55" s="6"/>
      <c r="V55" s="5" t="str">
        <f t="shared" si="2"/>
        <v>/personnel/bret-kalvin-primacio.jpg</v>
      </c>
      <c r="W55" s="6" t="s">
        <v>9</v>
      </c>
    </row>
    <row r="56" spans="1:23">
      <c r="A56" s="5">
        <v>55</v>
      </c>
      <c r="B56" s="5" t="s">
        <v>178</v>
      </c>
      <c r="C56" s="5" t="s">
        <v>210</v>
      </c>
      <c r="D56" s="5" t="s">
        <v>211</v>
      </c>
      <c r="E56" s="5" t="str">
        <f t="shared" si="4"/>
        <v>N.</v>
      </c>
      <c r="F56" s="5"/>
      <c r="G56" s="5" t="str">
        <f t="shared" si="5"/>
        <v>Jhea N. Quiling</v>
      </c>
      <c r="H56" s="5" t="s">
        <v>16</v>
      </c>
      <c r="I56" s="10" t="s">
        <v>369</v>
      </c>
      <c r="J56" s="5"/>
      <c r="K56" s="5"/>
      <c r="L56" s="5"/>
      <c r="M56" s="5"/>
      <c r="N56" s="6" t="s">
        <v>13</v>
      </c>
      <c r="O56" s="5" t="s">
        <v>17</v>
      </c>
      <c r="P56" s="6" t="s">
        <v>334</v>
      </c>
      <c r="Q56" s="6" t="s">
        <v>369</v>
      </c>
      <c r="R56" s="6"/>
      <c r="S56" s="6"/>
      <c r="T56" s="6"/>
      <c r="U56" s="6"/>
      <c r="V56" s="5" t="str">
        <f t="shared" si="2"/>
        <v>/personnel/jhea-quiling.jpg</v>
      </c>
      <c r="W56" s="6" t="s">
        <v>9</v>
      </c>
    </row>
    <row r="57" spans="1:23">
      <c r="A57" s="5">
        <v>56</v>
      </c>
      <c r="B57" s="5" t="s">
        <v>179</v>
      </c>
      <c r="C57" s="5" t="s">
        <v>212</v>
      </c>
      <c r="D57" s="5" t="s">
        <v>213</v>
      </c>
      <c r="E57" s="5" t="str">
        <f t="shared" si="4"/>
        <v>C.</v>
      </c>
      <c r="F57" s="5"/>
      <c r="G57" s="5" t="str">
        <f t="shared" si="5"/>
        <v>Joyce C. Racaza</v>
      </c>
      <c r="H57" s="5" t="s">
        <v>12</v>
      </c>
      <c r="I57" s="10" t="s">
        <v>369</v>
      </c>
      <c r="J57" s="5"/>
      <c r="K57" s="5"/>
      <c r="L57" s="5"/>
      <c r="M57" s="5"/>
      <c r="N57" s="6" t="s">
        <v>13</v>
      </c>
      <c r="O57" s="5" t="s">
        <v>17</v>
      </c>
      <c r="P57" s="6" t="s">
        <v>342</v>
      </c>
      <c r="Q57" s="6" t="s">
        <v>369</v>
      </c>
      <c r="R57" s="6"/>
      <c r="S57" s="6"/>
      <c r="T57" s="6"/>
      <c r="U57" s="6"/>
      <c r="V57" s="5" t="str">
        <f t="shared" si="2"/>
        <v>/personnel/joyce-racaza.jpg</v>
      </c>
      <c r="W57" s="6" t="s">
        <v>9</v>
      </c>
    </row>
    <row r="58" spans="1:23">
      <c r="A58" s="5">
        <v>57</v>
      </c>
      <c r="B58" s="5" t="s">
        <v>180</v>
      </c>
      <c r="C58" s="5" t="s">
        <v>214</v>
      </c>
      <c r="D58" s="5" t="s">
        <v>215</v>
      </c>
      <c r="E58" s="5" t="str">
        <f t="shared" si="4"/>
        <v>P.</v>
      </c>
      <c r="F58" s="5"/>
      <c r="G58" s="5" t="str">
        <f t="shared" si="5"/>
        <v>Cromwell P. Retuya</v>
      </c>
      <c r="H58" s="5" t="s">
        <v>12</v>
      </c>
      <c r="I58" s="10" t="s">
        <v>369</v>
      </c>
      <c r="J58" s="5"/>
      <c r="K58" s="5"/>
      <c r="L58" s="5"/>
      <c r="M58" s="5"/>
      <c r="N58" s="6" t="s">
        <v>13</v>
      </c>
      <c r="O58" s="5" t="s">
        <v>17</v>
      </c>
      <c r="P58" s="6" t="s">
        <v>344</v>
      </c>
      <c r="Q58" s="6" t="s">
        <v>369</v>
      </c>
      <c r="R58" s="6"/>
      <c r="S58" s="6"/>
      <c r="T58" s="6"/>
      <c r="U58" s="6"/>
      <c r="V58" s="5" t="str">
        <f t="shared" si="2"/>
        <v>/personnel/cromwell-retuya.jpg</v>
      </c>
      <c r="W58" s="6" t="s">
        <v>9</v>
      </c>
    </row>
    <row r="59" spans="1:23">
      <c r="A59" s="5">
        <v>58</v>
      </c>
      <c r="B59" s="5" t="s">
        <v>181</v>
      </c>
      <c r="C59" s="5" t="s">
        <v>216</v>
      </c>
      <c r="D59" s="5" t="s">
        <v>217</v>
      </c>
      <c r="E59" s="5" t="str">
        <f t="shared" si="4"/>
        <v>L.</v>
      </c>
      <c r="F59" s="5"/>
      <c r="G59" s="5" t="str">
        <f t="shared" si="5"/>
        <v>Nancy L. Reyes</v>
      </c>
      <c r="H59" s="5" t="s">
        <v>12</v>
      </c>
      <c r="I59" s="10" t="s">
        <v>367</v>
      </c>
      <c r="J59" s="5"/>
      <c r="K59" s="5"/>
      <c r="L59" s="5"/>
      <c r="M59" s="5"/>
      <c r="N59" s="6" t="s">
        <v>13</v>
      </c>
      <c r="O59" s="5" t="s">
        <v>17</v>
      </c>
      <c r="P59" s="6" t="s">
        <v>386</v>
      </c>
      <c r="Q59" s="6" t="s">
        <v>367</v>
      </c>
      <c r="R59" s="6"/>
      <c r="S59" s="6"/>
      <c r="T59" s="6"/>
      <c r="U59" s="6"/>
      <c r="V59" s="5" t="str">
        <f t="shared" si="2"/>
        <v>/personnel/nancy-reyes.jpg</v>
      </c>
      <c r="W59" s="6" t="s">
        <v>9</v>
      </c>
    </row>
    <row r="60" spans="1:23">
      <c r="A60" s="5">
        <v>59</v>
      </c>
      <c r="B60" s="5" t="s">
        <v>182</v>
      </c>
      <c r="C60" s="5" t="s">
        <v>218</v>
      </c>
      <c r="D60" s="5" t="s">
        <v>219</v>
      </c>
      <c r="E60" s="5" t="str">
        <f t="shared" si="4"/>
        <v>P.</v>
      </c>
      <c r="F60" s="5"/>
      <c r="G60" s="5" t="str">
        <f t="shared" si="5"/>
        <v>Angelo P. Saavedra</v>
      </c>
      <c r="H60" s="5" t="s">
        <v>12</v>
      </c>
      <c r="I60" s="10" t="s">
        <v>368</v>
      </c>
      <c r="J60" s="5"/>
      <c r="K60" s="5"/>
      <c r="L60" s="5"/>
      <c r="M60" s="5"/>
      <c r="N60" s="6" t="s">
        <v>13</v>
      </c>
      <c r="O60" s="5" t="s">
        <v>17</v>
      </c>
      <c r="P60" s="6"/>
      <c r="Q60" s="6" t="s">
        <v>368</v>
      </c>
      <c r="R60" s="6"/>
      <c r="S60" s="6"/>
      <c r="T60" s="6"/>
      <c r="U60" s="6"/>
      <c r="V60" s="5" t="str">
        <f t="shared" si="2"/>
        <v>/personnel/angelo-saavedra.jpg</v>
      </c>
      <c r="W60" s="6" t="s">
        <v>9</v>
      </c>
    </row>
    <row r="61" spans="1:23">
      <c r="A61" s="5">
        <v>60</v>
      </c>
      <c r="B61" s="5" t="s">
        <v>183</v>
      </c>
      <c r="C61" s="5" t="s">
        <v>220</v>
      </c>
      <c r="D61" s="5" t="s">
        <v>221</v>
      </c>
      <c r="E61" s="5" t="str">
        <f t="shared" si="4"/>
        <v>B.</v>
      </c>
      <c r="F61" s="5"/>
      <c r="G61" s="5" t="str">
        <f t="shared" si="5"/>
        <v>Brendel B. Sacaris</v>
      </c>
      <c r="H61" s="5" t="s">
        <v>244</v>
      </c>
      <c r="I61" s="10" t="s">
        <v>381</v>
      </c>
      <c r="J61" s="5"/>
      <c r="K61" s="5"/>
      <c r="L61" s="5"/>
      <c r="M61" s="5"/>
      <c r="N61" s="6" t="s">
        <v>13</v>
      </c>
      <c r="O61" s="5" t="s">
        <v>17</v>
      </c>
      <c r="P61" s="6" t="s">
        <v>392</v>
      </c>
      <c r="Q61" s="6" t="s">
        <v>365</v>
      </c>
      <c r="R61" s="6"/>
      <c r="S61" s="6"/>
      <c r="T61" s="6"/>
      <c r="U61" s="6"/>
      <c r="V61" s="5" t="str">
        <f t="shared" si="2"/>
        <v>/personnel/brendel-sacaris.jpg</v>
      </c>
      <c r="W61" s="6" t="s">
        <v>9</v>
      </c>
    </row>
    <row r="62" spans="1:23">
      <c r="A62" s="5">
        <v>61</v>
      </c>
      <c r="B62" s="5" t="s">
        <v>224</v>
      </c>
      <c r="C62" s="5" t="s">
        <v>222</v>
      </c>
      <c r="D62" s="5" t="s">
        <v>223</v>
      </c>
      <c r="E62" s="5" t="str">
        <f>IF(D62="","",LEFT(TRIM(D62),1)&amp;".")</f>
        <v>T.</v>
      </c>
      <c r="F62" s="5"/>
      <c r="G62" s="5" t="str">
        <f t="shared" si="5"/>
        <v>Bella Arquine T. Samontañez</v>
      </c>
      <c r="H62" s="5" t="s">
        <v>12</v>
      </c>
      <c r="I62" s="10" t="s">
        <v>368</v>
      </c>
      <c r="J62" s="5"/>
      <c r="K62" s="5"/>
      <c r="L62" s="5"/>
      <c r="M62" s="5"/>
      <c r="N62" s="6" t="s">
        <v>13</v>
      </c>
      <c r="O62" s="5" t="s">
        <v>17</v>
      </c>
      <c r="P62" s="6"/>
      <c r="Q62" s="6" t="s">
        <v>368</v>
      </c>
      <c r="R62" s="6"/>
      <c r="S62" s="6"/>
      <c r="T62" s="6"/>
      <c r="U62" s="6"/>
      <c r="V62" s="5" t="str">
        <f>"/personnel/"&amp;LOWER(SUBSTITUTE(TRIM(C62&amp;" "&amp;B62)," ","-"))&amp;".jpg"</f>
        <v>/personnel/bella-arquine-samontañez.jpg</v>
      </c>
      <c r="W62" s="6" t="s">
        <v>9</v>
      </c>
    </row>
    <row r="63" spans="1:23">
      <c r="A63" s="5">
        <v>62</v>
      </c>
      <c r="B63" s="5" t="s">
        <v>225</v>
      </c>
      <c r="C63" s="5" t="s">
        <v>226</v>
      </c>
      <c r="D63" s="5" t="s">
        <v>227</v>
      </c>
      <c r="E63" s="5" t="str">
        <f t="shared" si="4"/>
        <v>O.</v>
      </c>
      <c r="F63" s="5"/>
      <c r="G63" s="5" t="str">
        <f t="shared" si="5"/>
        <v>Jevy Ann O. Uy</v>
      </c>
      <c r="H63" s="5" t="s">
        <v>249</v>
      </c>
      <c r="I63" s="10" t="s">
        <v>368</v>
      </c>
      <c r="J63" s="5"/>
      <c r="K63" s="5"/>
      <c r="L63" s="5"/>
      <c r="M63" s="5"/>
      <c r="N63" s="6" t="s">
        <v>13</v>
      </c>
      <c r="O63" s="5" t="s">
        <v>14</v>
      </c>
      <c r="P63" s="6" t="s">
        <v>334</v>
      </c>
      <c r="Q63" s="6" t="s">
        <v>368</v>
      </c>
      <c r="R63" s="6"/>
      <c r="S63" s="6"/>
      <c r="T63" s="6"/>
      <c r="U63" s="6"/>
      <c r="V63" s="5" t="str">
        <f t="shared" si="2"/>
        <v>/personnel/jevy-ann-uy.jpg</v>
      </c>
      <c r="W63" s="6" t="s">
        <v>9</v>
      </c>
    </row>
    <row r="64" spans="1:23">
      <c r="A64" s="5">
        <v>63</v>
      </c>
      <c r="B64" s="5" t="s">
        <v>228</v>
      </c>
      <c r="C64" s="5" t="s">
        <v>229</v>
      </c>
      <c r="D64" s="5" t="s">
        <v>98</v>
      </c>
      <c r="E64" s="5" t="str">
        <f t="shared" si="4"/>
        <v>H.</v>
      </c>
      <c r="F64" s="5"/>
      <c r="G64" s="5" t="str">
        <f t="shared" si="5"/>
        <v>Grace H. Vergara</v>
      </c>
      <c r="H64" s="5" t="s">
        <v>12</v>
      </c>
      <c r="I64" s="10" t="s">
        <v>382</v>
      </c>
      <c r="J64" s="5"/>
      <c r="K64" s="5"/>
      <c r="L64" s="5"/>
      <c r="M64" s="5"/>
      <c r="N64" s="6" t="s">
        <v>13</v>
      </c>
      <c r="O64" s="5" t="s">
        <v>17</v>
      </c>
      <c r="P64" s="6" t="s">
        <v>342</v>
      </c>
      <c r="Q64" s="6" t="s">
        <v>365</v>
      </c>
      <c r="R64" s="6"/>
      <c r="S64" s="6"/>
      <c r="T64" s="6"/>
      <c r="U64" s="6"/>
      <c r="V64" s="5" t="str">
        <f t="shared" si="2"/>
        <v>/personnel/grace-vergara.jpg</v>
      </c>
      <c r="W64" s="6" t="s">
        <v>9</v>
      </c>
    </row>
    <row r="65" spans="1:23">
      <c r="A65" s="5">
        <v>64</v>
      </c>
      <c r="B65" s="5" t="s">
        <v>230</v>
      </c>
      <c r="C65" s="5" t="s">
        <v>231</v>
      </c>
      <c r="D65" s="5" t="s">
        <v>104</v>
      </c>
      <c r="E65" s="5" t="str">
        <f t="shared" si="4"/>
        <v>B.</v>
      </c>
      <c r="F65" s="5"/>
      <c r="G65" s="5" t="str">
        <f t="shared" si="5"/>
        <v>Guillermo B. Villavelez</v>
      </c>
      <c r="H65" s="5" t="s">
        <v>256</v>
      </c>
      <c r="I65" s="10" t="s">
        <v>271</v>
      </c>
      <c r="J65" s="5"/>
      <c r="K65" s="5"/>
      <c r="L65" s="5"/>
      <c r="M65" s="5"/>
      <c r="N65" s="6" t="s">
        <v>7</v>
      </c>
      <c r="O65" s="5" t="s">
        <v>7</v>
      </c>
      <c r="P65" s="6" t="s">
        <v>388</v>
      </c>
      <c r="Q65" s="6" t="s">
        <v>271</v>
      </c>
      <c r="R65" s="6"/>
      <c r="S65" s="6"/>
      <c r="T65" s="6"/>
      <c r="U65" s="6"/>
      <c r="V65" s="5" t="str">
        <f t="shared" si="2"/>
        <v>/personnel/guillermo-villavelez.jpg</v>
      </c>
      <c r="W65" s="6" t="s">
        <v>9</v>
      </c>
    </row>
    <row r="66" spans="1:23">
      <c r="A66" s="5">
        <v>65</v>
      </c>
      <c r="B66" s="5" t="s">
        <v>232</v>
      </c>
      <c r="C66" s="5" t="s">
        <v>145</v>
      </c>
      <c r="D66" s="5" t="s">
        <v>233</v>
      </c>
      <c r="E66" s="5" t="str">
        <f t="shared" ref="E66:E71" si="6">IF(D66="","",LEFT(TRIM(D66),1)&amp;".")</f>
        <v>A.</v>
      </c>
      <c r="F66" s="5"/>
      <c r="G66" s="5" t="str">
        <f t="shared" ref="G66:G67" si="7">TRIM(_xlfn.TEXTJOIN(" ",TRUE,C66,IF(E66&lt;&gt;"",IF(RIGHT(E66,1)=".",E66,E66&amp;"."),D66),B66,F66))</f>
        <v>Marilou A. Villaver</v>
      </c>
      <c r="H66" s="5" t="s">
        <v>12</v>
      </c>
      <c r="I66" s="10" t="s">
        <v>369</v>
      </c>
      <c r="J66" s="5"/>
      <c r="K66" s="5"/>
      <c r="L66" s="5"/>
      <c r="M66" s="5"/>
      <c r="N66" s="6" t="s">
        <v>13</v>
      </c>
      <c r="O66" s="5" t="s">
        <v>14</v>
      </c>
      <c r="P66" s="6" t="s">
        <v>339</v>
      </c>
      <c r="Q66" s="6" t="s">
        <v>369</v>
      </c>
      <c r="R66" s="6"/>
      <c r="S66" s="6"/>
      <c r="T66" s="6"/>
      <c r="U66" s="6"/>
      <c r="V66" s="5" t="str">
        <f t="shared" si="2"/>
        <v>/personnel/marilou-villaver.jpg</v>
      </c>
      <c r="W66" s="6" t="s">
        <v>9</v>
      </c>
    </row>
    <row r="67" spans="1:23">
      <c r="A67" s="5">
        <v>66</v>
      </c>
      <c r="B67" s="5" t="s">
        <v>234</v>
      </c>
      <c r="C67" s="5" t="s">
        <v>235</v>
      </c>
      <c r="D67" s="5" t="s">
        <v>236</v>
      </c>
      <c r="E67" s="5" t="str">
        <f t="shared" si="6"/>
        <v>Z.</v>
      </c>
      <c r="F67" s="5"/>
      <c r="G67" s="5" t="str">
        <f t="shared" si="7"/>
        <v>Markjil Z. Bacaltos</v>
      </c>
      <c r="H67" s="5" t="s">
        <v>269</v>
      </c>
      <c r="I67" s="10" t="s">
        <v>370</v>
      </c>
      <c r="J67" s="5"/>
      <c r="K67" s="5"/>
      <c r="L67" s="5"/>
      <c r="M67" s="5"/>
      <c r="N67" s="6" t="s">
        <v>372</v>
      </c>
      <c r="O67" s="5" t="s">
        <v>371</v>
      </c>
      <c r="P67" s="6" t="s">
        <v>388</v>
      </c>
      <c r="Q67" s="6" t="s">
        <v>370</v>
      </c>
      <c r="R67" s="6"/>
      <c r="S67" s="6"/>
      <c r="T67" s="6"/>
      <c r="U67" s="6"/>
      <c r="V67" s="5" t="str">
        <f t="shared" ref="V67:V68" si="8">"/personnel/"&amp;LOWER(SUBSTITUTE(TRIM(C67&amp;" "&amp;B67)," ","-"))&amp;".jpg"</f>
        <v>/personnel/markjil-bacaltos.jpg</v>
      </c>
      <c r="W67" s="6" t="s">
        <v>9</v>
      </c>
    </row>
    <row r="68" spans="1:23">
      <c r="A68" s="5">
        <v>67</v>
      </c>
      <c r="B68" s="5" t="s">
        <v>237</v>
      </c>
      <c r="C68" s="5" t="s">
        <v>238</v>
      </c>
      <c r="D68" s="5" t="s">
        <v>198</v>
      </c>
      <c r="E68" s="5" t="str">
        <f t="shared" si="6"/>
        <v>B.</v>
      </c>
      <c r="F68" s="5"/>
      <c r="G68" s="5" t="str">
        <f t="shared" ref="G68" si="9">TRIM(_xlfn.TEXTJOIN(" ",TRUE,C68,IF(E68&lt;&gt;"",IF(RIGHT(E68,1)=".",E68,E68&amp;"."),D68),B68,F68))</f>
        <v>Diocel B. Celocia</v>
      </c>
      <c r="H68" s="5" t="s">
        <v>269</v>
      </c>
      <c r="I68" s="10" t="s">
        <v>370</v>
      </c>
      <c r="J68" s="5"/>
      <c r="K68" s="5"/>
      <c r="L68" s="5"/>
      <c r="M68" s="5"/>
      <c r="N68" s="6" t="s">
        <v>372</v>
      </c>
      <c r="O68" s="5" t="s">
        <v>371</v>
      </c>
      <c r="P68" s="6" t="s">
        <v>388</v>
      </c>
      <c r="Q68" s="6" t="s">
        <v>370</v>
      </c>
      <c r="R68" s="6"/>
      <c r="S68" s="6"/>
      <c r="T68" s="6"/>
      <c r="U68" s="6"/>
      <c r="V68" s="5" t="str">
        <f t="shared" si="8"/>
        <v>/personnel/diocel-celocia.jpg</v>
      </c>
      <c r="W68" s="6" t="s">
        <v>9</v>
      </c>
    </row>
    <row r="69" spans="1:23">
      <c r="A69" s="5">
        <v>68</v>
      </c>
      <c r="B69" s="5" t="s">
        <v>373</v>
      </c>
      <c r="C69" s="5" t="s">
        <v>376</v>
      </c>
      <c r="D69" s="5" t="s">
        <v>198</v>
      </c>
      <c r="E69" s="5" t="str">
        <f t="shared" si="6"/>
        <v>B.</v>
      </c>
      <c r="F69" s="5"/>
      <c r="G69" s="5" t="str">
        <f t="shared" ref="G69:G70" si="10">TRIM(_xlfn.TEXTJOIN(" ",TRUE,C69,IF(E69&lt;&gt;"",IF(RIGHT(E69,1)=".",E69,E69&amp;"."),D69),B69,F69))</f>
        <v>Luie B. Cabs</v>
      </c>
      <c r="H69" s="5" t="s">
        <v>267</v>
      </c>
      <c r="I69" s="10" t="s">
        <v>370</v>
      </c>
      <c r="J69" s="5"/>
      <c r="K69" s="5"/>
      <c r="L69" s="5"/>
      <c r="M69" s="5"/>
      <c r="N69" s="6" t="s">
        <v>240</v>
      </c>
      <c r="O69" s="5" t="s">
        <v>371</v>
      </c>
      <c r="P69" s="6" t="s">
        <v>388</v>
      </c>
      <c r="Q69" s="6" t="s">
        <v>370</v>
      </c>
      <c r="R69" s="6"/>
      <c r="S69" s="6"/>
      <c r="T69" s="6"/>
      <c r="U69" s="6"/>
      <c r="V69" s="5" t="str">
        <f t="shared" ref="V69:V70" si="11">"/personnel/"&amp;LOWER(SUBSTITUTE(TRIM(C69&amp;" "&amp;B69)," ","-"))&amp;".jpg"</f>
        <v>/personnel/luie-cabs.jpg</v>
      </c>
      <c r="W69" s="6" t="s">
        <v>9</v>
      </c>
    </row>
    <row r="70" spans="1:23">
      <c r="A70" s="5">
        <v>69</v>
      </c>
      <c r="B70" s="5" t="s">
        <v>374</v>
      </c>
      <c r="C70" s="5" t="s">
        <v>375</v>
      </c>
      <c r="D70" s="5" t="s">
        <v>198</v>
      </c>
      <c r="E70" s="5" t="str">
        <f t="shared" si="6"/>
        <v>B.</v>
      </c>
      <c r="F70" s="5"/>
      <c r="G70" s="5" t="str">
        <f t="shared" si="10"/>
        <v>Luis B. Mans</v>
      </c>
      <c r="H70" s="5" t="s">
        <v>267</v>
      </c>
      <c r="I70" s="10" t="s">
        <v>370</v>
      </c>
      <c r="J70" s="5"/>
      <c r="K70" s="5"/>
      <c r="L70" s="5"/>
      <c r="M70" s="5"/>
      <c r="N70" s="6" t="s">
        <v>240</v>
      </c>
      <c r="O70" s="5" t="s">
        <v>371</v>
      </c>
      <c r="P70" s="6" t="s">
        <v>388</v>
      </c>
      <c r="Q70" s="6" t="s">
        <v>370</v>
      </c>
      <c r="R70" s="6"/>
      <c r="S70" s="6"/>
      <c r="T70" s="6"/>
      <c r="U70" s="6"/>
      <c r="V70" s="5" t="str">
        <f t="shared" si="11"/>
        <v>/personnel/luis-mans.jpg</v>
      </c>
      <c r="W70" s="6" t="s">
        <v>9</v>
      </c>
    </row>
    <row r="71" spans="1:23">
      <c r="A71" s="5">
        <v>70</v>
      </c>
      <c r="B71" s="5"/>
      <c r="C71" s="5"/>
      <c r="D71" s="5"/>
      <c r="E71" s="5" t="str">
        <f t="shared" si="6"/>
        <v/>
      </c>
      <c r="F71" s="5"/>
      <c r="G71" s="5"/>
      <c r="H71" s="5"/>
      <c r="I71" s="9"/>
      <c r="J71" s="5"/>
      <c r="K71" s="5"/>
      <c r="L71" s="5"/>
      <c r="M71" s="5"/>
      <c r="N71" s="6"/>
      <c r="O71" s="5"/>
      <c r="P71" s="6"/>
      <c r="Q71" s="6"/>
      <c r="R71" s="6"/>
      <c r="S71" s="6"/>
      <c r="T71" s="6"/>
      <c r="U71" s="6"/>
      <c r="V71" s="5"/>
      <c r="W71" s="6"/>
    </row>
  </sheetData>
  <phoneticPr fontId="4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Dropdown_Lists!$A$2:$A$5</xm:f>
          </x14:formula1>
          <xm:sqref>N71</xm:sqref>
        </x14:dataValidation>
        <x14:dataValidation type="list" xr:uid="{F197BE03-BA33-43F0-8353-14B37878E191}">
          <x14:formula1>
            <xm:f>Dropdown_Lists!$A$2:$A$6</xm:f>
          </x14:formula1>
          <xm:sqref>N2:N70</xm:sqref>
        </x14:dataValidation>
        <x14:dataValidation type="list" allowBlank="1" showInputMessage="1" showErrorMessage="1" xr:uid="{909FCDCA-C40C-4807-A52A-02A68E381F21}">
          <x14:formula1>
            <xm:f>Dropdown_Lists!$B$2:$B$35</xm:f>
          </x14:formula1>
          <xm:sqref>H2:H70</xm:sqref>
        </x14:dataValidation>
        <x14:dataValidation type="list" xr:uid="{00000000-0002-0000-0000-000001000000}">
          <x14:formula1>
            <xm:f>Dropdown_Lists!$G$2:$G$5</xm:f>
          </x14:formula1>
          <xm:sqref>W2:W71</xm:sqref>
        </x14:dataValidation>
        <x14:dataValidation type="list" allowBlank="1" showInputMessage="1" showErrorMessage="1" xr:uid="{70D54F6E-2A67-40F0-92CA-B6E53F44843D}">
          <x14:formula1>
            <xm:f>Dropdown_Lists!$D$2:$D$61</xm:f>
          </x14:formula1>
          <xm:sqref>Q2:Q71</xm:sqref>
        </x14:dataValidation>
        <x14:dataValidation type="list" allowBlank="1" showInputMessage="1" showErrorMessage="1" xr:uid="{7834D497-9733-4178-89DF-4B7895726F53}">
          <x14:formula1>
            <xm:f>Dropdown_Lists!$E$2:$E$60</xm:f>
          </x14:formula1>
          <xm:sqref>R2:R71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workbookViewId="0">
      <selection activeCell="A6" sqref="A6"/>
    </sheetView>
  </sheetViews>
  <sheetFormatPr defaultRowHeight="13.8"/>
  <cols>
    <col min="1" max="1" width="25.69921875" bestFit="1" customWidth="1"/>
    <col min="2" max="2" width="21.69921875" bestFit="1" customWidth="1"/>
    <col min="3" max="3" width="41.296875" bestFit="1" customWidth="1"/>
    <col min="4" max="4" width="41.296875" customWidth="1"/>
    <col min="5" max="5" width="22" bestFit="1" customWidth="1"/>
    <col min="6" max="6" width="25.296875" bestFit="1" customWidth="1"/>
    <col min="7" max="7" width="10.296875" bestFit="1" customWidth="1"/>
  </cols>
  <sheetData>
    <row r="1" spans="1:7">
      <c r="A1" s="1" t="s">
        <v>2</v>
      </c>
      <c r="B1" s="1" t="s">
        <v>1</v>
      </c>
      <c r="C1" s="1" t="s">
        <v>324</v>
      </c>
      <c r="D1" s="1" t="s">
        <v>360</v>
      </c>
      <c r="E1" s="1" t="s">
        <v>335</v>
      </c>
      <c r="F1" s="1" t="s">
        <v>19</v>
      </c>
      <c r="G1" s="1" t="s">
        <v>6</v>
      </c>
    </row>
    <row r="2" spans="1:7">
      <c r="A2" t="s">
        <v>7</v>
      </c>
      <c r="B2" t="s">
        <v>12</v>
      </c>
      <c r="C2" t="s">
        <v>271</v>
      </c>
      <c r="D2" t="s">
        <v>271</v>
      </c>
      <c r="E2" t="s">
        <v>336</v>
      </c>
      <c r="F2" t="s">
        <v>8</v>
      </c>
      <c r="G2" t="s">
        <v>9</v>
      </c>
    </row>
    <row r="3" spans="1:7">
      <c r="A3" t="s">
        <v>13</v>
      </c>
      <c r="B3" t="s">
        <v>241</v>
      </c>
      <c r="C3" t="s">
        <v>272</v>
      </c>
      <c r="D3" t="s">
        <v>364</v>
      </c>
      <c r="E3" t="s">
        <v>337</v>
      </c>
      <c r="F3" t="s">
        <v>20</v>
      </c>
      <c r="G3" t="s">
        <v>18</v>
      </c>
    </row>
    <row r="4" spans="1:7">
      <c r="A4" t="s">
        <v>21</v>
      </c>
      <c r="B4" t="s">
        <v>16</v>
      </c>
      <c r="C4" t="s">
        <v>273</v>
      </c>
      <c r="D4" t="s">
        <v>365</v>
      </c>
      <c r="E4" t="s">
        <v>338</v>
      </c>
      <c r="F4" t="s">
        <v>23</v>
      </c>
      <c r="G4" t="s">
        <v>22</v>
      </c>
    </row>
    <row r="5" spans="1:7">
      <c r="A5" t="s">
        <v>372</v>
      </c>
      <c r="B5" t="s">
        <v>242</v>
      </c>
      <c r="C5" t="s">
        <v>274</v>
      </c>
      <c r="D5" t="s">
        <v>366</v>
      </c>
      <c r="E5" t="s">
        <v>334</v>
      </c>
      <c r="G5" t="s">
        <v>24</v>
      </c>
    </row>
    <row r="6" spans="1:7">
      <c r="A6" t="s">
        <v>240</v>
      </c>
      <c r="B6" t="s">
        <v>243</v>
      </c>
      <c r="C6" t="s">
        <v>275</v>
      </c>
      <c r="D6" t="s">
        <v>367</v>
      </c>
      <c r="E6" t="s">
        <v>339</v>
      </c>
    </row>
    <row r="7" spans="1:7">
      <c r="B7" t="s">
        <v>244</v>
      </c>
      <c r="C7" t="s">
        <v>276</v>
      </c>
      <c r="D7" t="s">
        <v>368</v>
      </c>
      <c r="E7" t="s">
        <v>340</v>
      </c>
    </row>
    <row r="8" spans="1:7">
      <c r="B8" t="s">
        <v>245</v>
      </c>
      <c r="C8" t="s">
        <v>331</v>
      </c>
      <c r="D8" t="s">
        <v>369</v>
      </c>
      <c r="E8" t="s">
        <v>341</v>
      </c>
    </row>
    <row r="9" spans="1:7">
      <c r="B9" t="s">
        <v>270</v>
      </c>
      <c r="C9" t="s">
        <v>327</v>
      </c>
      <c r="D9" t="s">
        <v>370</v>
      </c>
      <c r="E9" t="s">
        <v>342</v>
      </c>
    </row>
    <row r="10" spans="1:7">
      <c r="B10" t="s">
        <v>249</v>
      </c>
      <c r="C10" t="s">
        <v>328</v>
      </c>
      <c r="E10" t="s">
        <v>343</v>
      </c>
    </row>
    <row r="11" spans="1:7">
      <c r="B11" t="s">
        <v>250</v>
      </c>
      <c r="C11" t="s">
        <v>329</v>
      </c>
      <c r="E11" t="s">
        <v>344</v>
      </c>
    </row>
    <row r="12" spans="1:7">
      <c r="B12" t="s">
        <v>251</v>
      </c>
      <c r="C12" t="s">
        <v>330</v>
      </c>
      <c r="E12" t="s">
        <v>345</v>
      </c>
    </row>
    <row r="13" spans="1:7">
      <c r="B13" t="s">
        <v>252</v>
      </c>
      <c r="C13" t="s">
        <v>277</v>
      </c>
      <c r="E13" t="s">
        <v>346</v>
      </c>
    </row>
    <row r="14" spans="1:7">
      <c r="B14" t="s">
        <v>253</v>
      </c>
      <c r="E14" t="s">
        <v>347</v>
      </c>
    </row>
    <row r="15" spans="1:7">
      <c r="B15" t="s">
        <v>254</v>
      </c>
      <c r="E15" t="s">
        <v>348</v>
      </c>
    </row>
    <row r="16" spans="1:7">
      <c r="B16" t="s">
        <v>10</v>
      </c>
      <c r="C16" t="s">
        <v>278</v>
      </c>
      <c r="E16" t="s">
        <v>349</v>
      </c>
    </row>
    <row r="17" spans="2:5">
      <c r="B17" t="s">
        <v>246</v>
      </c>
      <c r="C17" t="s">
        <v>279</v>
      </c>
      <c r="E17" t="s">
        <v>350</v>
      </c>
    </row>
    <row r="18" spans="2:5">
      <c r="B18" t="s">
        <v>247</v>
      </c>
      <c r="C18" t="s">
        <v>280</v>
      </c>
      <c r="E18" t="s">
        <v>351</v>
      </c>
    </row>
    <row r="19" spans="2:5">
      <c r="B19" t="s">
        <v>248</v>
      </c>
      <c r="C19" t="s">
        <v>281</v>
      </c>
      <c r="E19" t="s">
        <v>352</v>
      </c>
    </row>
    <row r="20" spans="2:5">
      <c r="B20" t="s">
        <v>255</v>
      </c>
      <c r="C20" t="s">
        <v>282</v>
      </c>
      <c r="E20" t="s">
        <v>353</v>
      </c>
    </row>
    <row r="21" spans="2:5">
      <c r="B21" t="s">
        <v>256</v>
      </c>
      <c r="C21" t="s">
        <v>283</v>
      </c>
      <c r="E21" t="s">
        <v>354</v>
      </c>
    </row>
    <row r="22" spans="2:5">
      <c r="B22" t="s">
        <v>257</v>
      </c>
      <c r="C22" t="s">
        <v>284</v>
      </c>
      <c r="E22" t="s">
        <v>355</v>
      </c>
    </row>
    <row r="23" spans="2:5">
      <c r="B23" t="s">
        <v>258</v>
      </c>
      <c r="C23" t="s">
        <v>285</v>
      </c>
      <c r="E23" t="s">
        <v>356</v>
      </c>
    </row>
    <row r="24" spans="2:5">
      <c r="B24" t="s">
        <v>259</v>
      </c>
      <c r="C24" t="s">
        <v>286</v>
      </c>
      <c r="E24" t="s">
        <v>357</v>
      </c>
    </row>
    <row r="25" spans="2:5">
      <c r="B25" t="s">
        <v>239</v>
      </c>
      <c r="C25" t="s">
        <v>287</v>
      </c>
    </row>
    <row r="26" spans="2:5">
      <c r="B26" t="s">
        <v>260</v>
      </c>
      <c r="C26" t="s">
        <v>288</v>
      </c>
    </row>
    <row r="27" spans="2:5">
      <c r="B27" t="s">
        <v>261</v>
      </c>
      <c r="C27" t="s">
        <v>289</v>
      </c>
    </row>
    <row r="28" spans="2:5">
      <c r="B28" t="s">
        <v>262</v>
      </c>
      <c r="C28" t="s">
        <v>290</v>
      </c>
    </row>
    <row r="29" spans="2:5">
      <c r="B29" t="s">
        <v>263</v>
      </c>
      <c r="C29" t="s">
        <v>291</v>
      </c>
    </row>
    <row r="30" spans="2:5">
      <c r="B30" t="s">
        <v>264</v>
      </c>
      <c r="C30" t="s">
        <v>292</v>
      </c>
    </row>
    <row r="31" spans="2:5">
      <c r="B31" t="s">
        <v>265</v>
      </c>
      <c r="C31" t="s">
        <v>293</v>
      </c>
    </row>
    <row r="32" spans="2:5">
      <c r="B32" t="s">
        <v>266</v>
      </c>
      <c r="C32" t="s">
        <v>294</v>
      </c>
    </row>
    <row r="33" spans="2:3">
      <c r="B33" t="s">
        <v>267</v>
      </c>
      <c r="C33" t="s">
        <v>295</v>
      </c>
    </row>
    <row r="34" spans="2:3">
      <c r="B34" t="s">
        <v>268</v>
      </c>
      <c r="C34" t="s">
        <v>296</v>
      </c>
    </row>
    <row r="35" spans="2:3">
      <c r="B35" t="s">
        <v>269</v>
      </c>
      <c r="C35" t="s">
        <v>297</v>
      </c>
    </row>
    <row r="36" spans="2:3">
      <c r="C36" t="s">
        <v>298</v>
      </c>
    </row>
    <row r="37" spans="2:3">
      <c r="C37" t="s">
        <v>299</v>
      </c>
    </row>
    <row r="38" spans="2:3">
      <c r="C38" t="s">
        <v>300</v>
      </c>
    </row>
    <row r="39" spans="2:3">
      <c r="C39" t="s">
        <v>301</v>
      </c>
    </row>
    <row r="40" spans="2:3">
      <c r="C40" t="s">
        <v>302</v>
      </c>
    </row>
    <row r="41" spans="2:3">
      <c r="C41" t="s">
        <v>303</v>
      </c>
    </row>
    <row r="42" spans="2:3">
      <c r="C42" t="s">
        <v>304</v>
      </c>
    </row>
    <row r="43" spans="2:3">
      <c r="C43" t="s">
        <v>305</v>
      </c>
    </row>
    <row r="44" spans="2:3">
      <c r="C44" t="s">
        <v>306</v>
      </c>
    </row>
    <row r="45" spans="2:3">
      <c r="C45" t="s">
        <v>307</v>
      </c>
    </row>
    <row r="46" spans="2:3">
      <c r="C46" t="s">
        <v>308</v>
      </c>
    </row>
    <row r="47" spans="2:3">
      <c r="C47" t="s">
        <v>309</v>
      </c>
    </row>
    <row r="48" spans="2:3">
      <c r="C48" t="s">
        <v>310</v>
      </c>
    </row>
    <row r="49" spans="3:3">
      <c r="C49" t="s">
        <v>311</v>
      </c>
    </row>
    <row r="50" spans="3:3">
      <c r="C50" t="s">
        <v>312</v>
      </c>
    </row>
    <row r="51" spans="3:3">
      <c r="C51" t="s">
        <v>313</v>
      </c>
    </row>
    <row r="52" spans="3:3">
      <c r="C52" t="s">
        <v>314</v>
      </c>
    </row>
    <row r="53" spans="3:3">
      <c r="C53" t="s">
        <v>315</v>
      </c>
    </row>
    <row r="54" spans="3:3">
      <c r="C54" t="s">
        <v>316</v>
      </c>
    </row>
    <row r="55" spans="3:3">
      <c r="C55" t="s">
        <v>317</v>
      </c>
    </row>
    <row r="56" spans="3:3">
      <c r="C56" t="s">
        <v>318</v>
      </c>
    </row>
    <row r="57" spans="3:3">
      <c r="C57" t="s">
        <v>319</v>
      </c>
    </row>
    <row r="58" spans="3:3">
      <c r="C58" t="s">
        <v>320</v>
      </c>
    </row>
    <row r="59" spans="3:3">
      <c r="C59" t="s">
        <v>321</v>
      </c>
    </row>
    <row r="60" spans="3:3">
      <c r="C60" t="s">
        <v>322</v>
      </c>
    </row>
    <row r="61" spans="3:3">
      <c r="C61" t="s">
        <v>323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workbookViewId="0"/>
  </sheetViews>
  <sheetFormatPr defaultRowHeight="13.8"/>
  <cols>
    <col min="1" max="1" width="110" customWidth="1"/>
  </cols>
  <sheetData>
    <row r="1" spans="1:1" ht="21">
      <c r="A1" s="3" t="s">
        <v>25</v>
      </c>
    </row>
    <row r="3" spans="1:1">
      <c r="A3" s="2" t="s">
        <v>26</v>
      </c>
    </row>
    <row r="4" spans="1:1">
      <c r="A4" t="s">
        <v>27</v>
      </c>
    </row>
    <row r="6" spans="1:1">
      <c r="A6" s="2" t="s">
        <v>28</v>
      </c>
    </row>
    <row r="7" spans="1:1">
      <c r="A7" t="s">
        <v>29</v>
      </c>
    </row>
    <row r="9" spans="1:1">
      <c r="A9" s="2" t="s">
        <v>30</v>
      </c>
    </row>
    <row r="10" spans="1:1">
      <c r="A10" t="s">
        <v>31</v>
      </c>
    </row>
    <row r="12" spans="1:1">
      <c r="A12" s="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1" spans="1:1">
      <c r="A21" s="2" t="s">
        <v>40</v>
      </c>
    </row>
    <row r="22" spans="1:1">
      <c r="A22" t="s">
        <v>41</v>
      </c>
    </row>
    <row r="23" spans="1:1">
      <c r="A23" t="s">
        <v>42</v>
      </c>
    </row>
    <row r="25" spans="1:1">
      <c r="A25" s="2" t="s">
        <v>43</v>
      </c>
    </row>
    <row r="26" spans="1:1">
      <c r="A26" t="s">
        <v>44</v>
      </c>
    </row>
    <row r="27" spans="1:1">
      <c r="A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personnel</vt:lpstr>
      <vt:lpstr>Dropdown_Lists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RICHIE RYAN MABUNAY</cp:lastModifiedBy>
  <dcterms:created xsi:type="dcterms:W3CDTF">2026-05-27T04:34:25Z</dcterms:created>
  <dcterms:modified xsi:type="dcterms:W3CDTF">2026-05-28T04:55:53Z</dcterms:modified>
</cp:coreProperties>
</file>