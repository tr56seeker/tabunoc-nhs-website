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C41A45A3-9911-49B0-87C1-CCDF7DF5E568}"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<sst xmlns="http://schemas.openxmlformats.org/spreadsheetml/2006/main" count="1079" uniqueCount="517">
  <si>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</si>
  <si>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</si>
  <si>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</si>
  <si>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</si>
  <si>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</si>
  <si>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</si>
  <si>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</si>
  <si>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</si>
  <si>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</si>
  <si>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</si>
  <si>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</si>
  <si>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</si>
  <si>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</si>
  <si>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</si>
  <si>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</si>
  <si>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</si>
  <si>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</si>
  <si>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</si>
  <si>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</si>
  <si>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</si>
  <si>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</si>
  <si>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</si>
  <si>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</si>
  <si>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</si>
  <si>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</si>
  <si>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</si>
  <si>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</si>
  <si>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</si>
  <si>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</si>
  <si>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</si>
  <si>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</si>
  <si>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</si>
  <si>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</si>
  <si>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</si>
  <si>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</si>
  <si>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</si>
  <si>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</si>
  <si>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</si>
  <si>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</si>
  <si>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</si>
  <si>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</si>
  <si>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</si>
  <si>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</si>
  <si>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</si>
  <si>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</si>
  <si>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</si>
  <si>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</si>
  <si>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</si>
  <si>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</si>
  <si>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</si>
  <si>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</si>
  <si>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</si>
  <si>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</si>
  <si>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</si>
  <si>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</si>
  <si>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</si>
  <si>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</si>
  <si>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</si>
  <si>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</si>
  <si>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</si>
  <si>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</si>
  <si>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</si>
  <si>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</si>
  <si>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</si>
  <si>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</si>
  <si>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</si>
  <si>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</si>
  <si>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</si>
  <si>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</si>
  <si>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</si>
  <si>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</si>
  <si>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</si>
  <si>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</si>
  <si>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</si>
  <si>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</si>
  <si>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</si>
  <si>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</si>
  <si>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</si>
  <si>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</si>
  <si>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</si>
  <si>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</si>
  <si>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</si>
  <si>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</si>
  <si>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</si>
  <si>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</si>
  <si>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</si>
  <si>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</si>
  <si>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</si>
  <si>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</si>
  <si>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</si>
  <si>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</si>
  <si>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</si>
  <si>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</si>
  <si>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</si>
  <si>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</si>
  <si>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</si>
  <si>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</si>
  <si>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</si>
  <si>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</si>
  <si>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</si>
  <si>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</si>
  <si>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</si>
  <si>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</si>
  <si>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</si>
  <si>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</si>
  <si>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</si>
  <si>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</si>
  <si>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</si>
  <si>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</si>
  <si>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</si>
  <si>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</si>
  <si>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</si>
  <si>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</si>
  <si>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</si>
  <si>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</si>
  <si>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</si>
  <si>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</si>
  <si>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</si>
  <si>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</si>
  <si>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</si>
  <si>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</si>
  <si>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</si>
  <si>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</si>
  <si>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</si>
  <si>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</si>
  <si>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</si>
  <si>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</si>
  <si>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</si>
  <si>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</si>
  <si>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</si>
  <si>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</si>
  <si>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</si>
  <si>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</si>
  <si>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</si>
  <si>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</si>
  <si>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</si>
  <si>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</si>
  <si>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</si>
  <si>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</si>
  <si>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</si>
  <si>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</si>
  <si>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</si>
  <si>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</si>
  <si>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</si>
  <si>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</si>
  <si>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</si>
  <si>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</si>
  <si>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</si>
  <si>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</si>
  <si>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</si>
  <si>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</si>
  <si>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</si>
  <si>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</si>
  <si>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</si>
  <si>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</si>
  <si>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</si>
  <si>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</si>
  <si>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</si>
  <si>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</si>
  <si>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</si>
  <si>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</si>
  <si>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</si>
  <si>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</si>
  <si>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</si>
  <si>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</si>
  <si>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</si>
  <si>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</si>
  <si>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</si>
  <si>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</si>
  <si>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</si>
  <si>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</si>
  <si>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</si>
  <si>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</si>
  <si>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</si>
  <si>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</si>
  <si>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</si>
  <si>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</si>
  <si>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</si>
  <si>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</si>
  <si>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</si>
  <si>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</si>
  <si>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</si>
  <si>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</si>
  <si>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</si>
  <si>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</si>
  <si>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</si>
  <si>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</si>
  <si>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</si>
  <si>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</si>
  <si>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</si>
  <si>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</si>
  <si>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</si>
  <si>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</si>
  <si>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</si>
  <si>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</si>
  <si>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</si>
  <si>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</si>
  <si>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</si>
  <si>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</si>
  <si>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</si>
  <si>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</si>
  <si>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</si>
  <si>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</si>
  <si>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</si>
  <si>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</si>
  <si>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</si>
  <si>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</si>
  <si>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</si>
  <si>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</si>
  <si>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</si>
  <si>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</si>
  <si>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</si>
  <si>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</si>
  <si>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</si>
  <si>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</si>
  <si>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</si>
  <si>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</si>
  <si>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</si>
  <si>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</si>
  <si>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</si>
  <si>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</si>
  <si>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</si>
  <si>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</si>
  <si>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</si>
  <si>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</si>
  <si>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</si>
  <si>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</si>
  <si>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</si>
  <si>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</si>
  <si>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</si>
  <si>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</si>
  <si>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</si>
  <si>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</si>
  <si>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</si>
  <si>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</si>
  <si>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</si>
  <si>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</si>
  <si>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</si>
  <si>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</si>
  <si>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</si>
  <si>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</si>
  <si>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</si>
  <si>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</si>
  <si>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</si>
  <si>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</si>
  <si>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</si>
  <si>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</si>
  <si>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</si>
  <si>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</si>
  <si>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</si>
  <si>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</si>
  <si>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</si>
  <si>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</si>
  <si>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</si>
  <si>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</si>
  <si>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</si>
  <si>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</si>
  <si>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</si>
  <si>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</si>
  <si>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</si>
  <si>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</si>
  <si>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</si>
  <si>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</si>
  <si>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</si>
  <si>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</si>
  <si>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</si>
  <si>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</si>
  <si>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</si>
  <si>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</si>
  <si>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</si>
  <si>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</si>
  <si>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</si>
  <si>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</si>
  <si>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</si>
  <si>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</si>
  <si>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</si>
  <si>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</si>
  <si>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</si>
  <si>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</si>
  <si>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</si>
  <si>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</si>
  <si>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</si>
  <si>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</si>
  <si>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</si>
  <si>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</si>
  <si>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</si>
  <si>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</si>
  <si>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</si>
  <si>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</si>
  <si>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</si>
  <si>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</si>
  <si>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</si>
  <si>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</si>
  <si>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</si>
  <si>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</si>
  <si>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</si>
  <si>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</si>
  <si>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</si>
  <si>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</si>
  <si>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</si>
  <si>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</si>
  <si>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</si>
  <si>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</si>
  <si>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</si>
  <si>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</si>
  <si>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</si>
  <si>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</si>
  <si>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</si>
  <si>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</si>
  <si>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</si>
  <si>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</si>
  <si>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</si>
  <si>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</si>
  <si>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</si>
  <si>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</si>
  <si>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</si>
  <si>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</si>
  <si>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</si>
  <si>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</si>
  <si>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</si>
  <si>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</si>
  <si>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</si>
  <si>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</si>
  <si>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</si>
  <si>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</si>
  <si>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</si>
  <si>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</si>
  <si>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</si>
  <si>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</si>
  <si>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</si>
  <si>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</si>
  <si>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</si>
  <si>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</si>
  <si>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</si>
  <si>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</si>
  <si>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</si>
  <si>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</si>
  <si>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</si>
  <si>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</si>
  <si>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</si>
  <si>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</si>
  <si>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</si>
  <si>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</si>
  <si>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</si>
  <si>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</si>
  <si>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</si>
  <si>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</si>
  <si>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</si>
  <si>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</si>
  <si>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</si>
  <si>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</si>
  <si>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</si>
  <si>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</si>
  <si>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</si>
  <si>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</si>
  <si>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</si>
  <si>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</si>
  <si>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</si>
  <si>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</si>
  <si>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</si>
  <si>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</si>
  <si>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</si>
  <si>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</si>
  <si>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</si>
  <si>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</si>
  <si>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</si>
  <si>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</si>
  <si>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</si>
  <si>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</si>
  <si>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</si>
  <si>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</si>
  <si>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</si>
  <si>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Cabs</t>
  </si>
  <si>
    <t>Mans</t>
  </si>
  <si>
    <t>Luis</t>
  </si>
  <si>
    <t>Luie</t>
  </si>
  <si>
    <t>Senior High School In-Charge</t>
  </si>
  <si>
    <t>Junior High School In-Charge</t>
  </si>
  <si>
    <t>SDRRM Coordinator</t>
  </si>
  <si>
    <t>SSLG Coordinator</t>
  </si>
  <si>
    <t>Canteen Coordinator</t>
  </si>
  <si>
    <t>Health Aid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</si>
  <si>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</si>
  <si>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</si>
  <si>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</si>
  <si>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</si>
  <si>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</si>
  <si>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</si>
  <si>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</si>
  <si>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</si>
  <si>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</si>
  <si>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</si>
  <si>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</si>
  <si>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</si>
  <si>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</si>
  <si>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</si>
  <si>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</si>
  <si>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</si>
  <si>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</si>
  <si>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</si>
  <si>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</si>
  <si>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</si>
  <si>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</si>
  <si>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</si>
  <si>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</si>
  <si>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</si>
  <si>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</si>
  <si>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</si>
  <si>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</si>
  <si>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</si>
  <si>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</si>
  <si>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</si>
  <si>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</si>
  <si>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</si>
  <si>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</si>
  <si>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</si>
  <si>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</si>
  <si>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</si>
  <si>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</si>
  <si>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</si>
  <si>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</si>
  <si>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</si>
  <si>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</si>
  <si>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</si>
  <si>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</si>
  <si>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</si>
  <si>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</si>
  <si>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</si>
  <si>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</si>
  <si>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</si>
  <si>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</si>
  <si>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</si>
  <si>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</si>
  <si>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</si>
  <si>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</si>
  <si>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</si>
  <si>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</si>
  <si>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</si>
  <si>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</si>
  <si>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</si>
  <si>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</si>
  <si>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</si>
  <si>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</si>
  <si>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</si>
  <si>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</si>
  <si>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</si>
  <si>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Coordinator (SHS)</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</si>
  <si>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</si>
  <si>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</si>
  <si>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</si>
  <si>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</si>
  <si>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</si>
  <si>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</si>
  <si>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</si>
  <si>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SHS Mathematics Coordinator</t>
  </si>
  <si>
    <t>Mathematics 7 &amp; 8</t>
  </si>
  <si>
    <t>General Mathemathics</t>
  </si>
  <si>
    <t>SHS English Coordinator</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</si>
  <si>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</si>
  <si>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</si>
  <si>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</si>
  <si>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</si>
  <si>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</si>
  <si>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</si>
  <si>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</si>
  <si>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</si>
  <si>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</si>
  <si>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</si>
  <si>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</si>
  <si>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</si>
  <si>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</si>
  <si>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</si>
  <si>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</si>
  <si>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</si>
  <si>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</si>
  <si>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</si>
  <si>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</si>
  <si>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</si>
  <si>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</si>
  <si>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</si>
  <si>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</si>
  <si>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</si>
  <si>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English Coordinator</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</si>
  <si>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</si>
  <si>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</si>
  <si>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</si>
  <si>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</si>
  <si>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</si>
  <si>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</si>
  <si>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</si>
  <si>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</si>
  <si>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</si>
  <si>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</si>
  <si>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</si>
  <si>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</si>
  <si>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</si>
  <si>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</si>
  <si>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</si>
  <si>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</si>
  <si>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</si>
  <si>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"Everything is empty in the mind of the students and the educators are the one who let them experience that makes their mind blowing."</t>
  </si>
  <si>
    <t>Teaching them to poke the universe with a stick to see what it does, but safely.</t>
  </si>
  <si>
    <t>"Every problem has a solution."</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</si>
  <si>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</si>
  <si>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</si>
  <si>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</si>
  <si>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"Everything is a process, don't skip, don't jump to the next level without the experience needed."</t>
  </si>
  <si>
    <t>10th Grade - Grade Leader</t>
  </si>
  <si>
    <t>9th Grade - Grade Leader</t>
  </si>
  <si>
    <t>8th Grade - Grade Leader</t>
  </si>
  <si>
    <t>7th Grade - Grade Leader</t>
  </si>
  <si>
    <t>Hairdressing NCII</t>
  </si>
  <si>
    <t>glendale.orocay@deped.gov.ph</t>
  </si>
  <si>
    <t>"I believe every learner can succeed with proper guidance, encouragement, and opportunities to grow. As a Hairdressing Teacher, I help students build skills, confidence, and creativity for lifelong success."</t>
  </si>
  <si>
    <t>Guidance Designate for Junior High School</t>
  </si>
  <si>
    <t>carolyn.delosreyes002@deped.gov.ph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</si>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</sst>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s>
  <fills count="3">
    <fill>
      <patternFill patternType="none"/>
    </fill>
    <fill>
      <patternFill patternType="gray125"/>
    </fill>
    <fill>
      <patternFill patternType="solid">
        <fgColor rgb="FF0F4C5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cellXfs>
  <cellStyles count="1">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I28" activePane="bottomRight" state="frozen"/>
      <selection pane="topRight" activeCell="I1" sqref="I1"/>
      <selection pane="bottomLeft" activeCell="A2" sqref="A2"/>
      <selection pane="bottomRight" activeCell="A33" sqref="A33:XFD33"/>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5" width="24.1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386</v>
      </c>
      <c r="K1" s="5" t="s">
        <v>387</v>
      </c>
      <c r="L1" s="5" t="s">
        <v>324</v>
      </c>
      <c r="M1" s="5" t="s">
        <v>357</v>
      </c>
      <c r="N1" s="5" t="s">
        <v>358</v>
      </c>
      <c r="O1" s="5" t="s">
        <v>325</v>
      </c>
      <c r="P1" s="5" t="s">
        <v>2</v>
      </c>
      <c r="Q1" s="5" t="s">
        <v>3</v>
      </c>
      <c r="R1" s="5" t="s">
        <v>4</v>
      </c>
      <c r="S1" s="5" t="s">
        <v>419</v>
      </c>
      <c r="T1" s="5" t="s">
        <v>467</v>
      </c>
      <c r="U1" s="5" t="s">
        <v>468</v>
      </c>
      <c r="V1" s="5" t="s">
        <v>469</v>
      </c>
      <c r="W1" s="5" t="s">
        <v>470</v>
      </c>
      <c r="X1" s="5" t="s">
        <v>420</v>
      </c>
      <c r="Y1" s="5" t="s">
        <v>421</v>
      </c>
      <c r="Z1" s="5" t="s">
        <v>422</v>
      </c>
      <c r="AA1" s="5" t="s">
        <v>423</v>
      </c>
      <c r="AB1" s="5" t="s">
        <v>424</v>
      </c>
      <c r="AC1" s="5" t="s">
        <v>425</v>
      </c>
      <c r="AD1" s="5" t="s">
        <v>359</v>
      </c>
      <c r="AE1" s="5" t="s">
        <v>334</v>
      </c>
      <c r="AF1" s="5" t="s">
        <v>360</v>
      </c>
      <c r="AG1" s="5" t="s">
        <v>361</v>
      </c>
      <c r="AH1" s="5" t="s">
        <v>362</v>
      </c>
      <c r="AI1" s="5" t="s">
        <v>473</v>
      </c>
      <c r="AJ1" s="5" t="s">
        <v>477</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507</v>
      </c>
      <c r="J2" s="6"/>
      <c r="K2" s="6"/>
      <c r="L2" s="7" t="s">
        <v>482</v>
      </c>
      <c r="M2" s="7"/>
      <c r="N2" s="7"/>
      <c r="O2" s="7"/>
      <c r="P2" s="8" t="s">
        <v>13</v>
      </c>
      <c r="Q2" s="7" t="s">
        <v>11</v>
      </c>
      <c r="R2" s="8" t="s">
        <v>333</v>
      </c>
      <c r="S2" s="8" t="s">
        <v>333</v>
      </c>
      <c r="T2" s="8"/>
      <c r="U2" s="8"/>
      <c r="V2" s="8"/>
      <c r="W2" s="8"/>
      <c r="X2" s="8" t="s">
        <v>418</v>
      </c>
      <c r="Y2" s="8"/>
      <c r="Z2" s="8"/>
      <c r="AA2" s="8"/>
      <c r="AB2" s="8"/>
      <c r="AC2" s="8" t="s">
        <v>16</v>
      </c>
      <c r="AD2" s="8" t="s">
        <v>365</v>
      </c>
      <c r="AE2" s="8"/>
      <c r="AF2" s="8"/>
      <c r="AG2" s="8">
        <v>2</v>
      </c>
      <c r="AH2" s="8"/>
      <c r="AI2" s="8"/>
      <c r="AJ2" s="6" t="s">
        <v>487</v>
      </c>
      <c r="AK2" s="7" t="str">
        <f t="shared" ref="AK2:AK33" si="2">"/personnel/"&amp;LOWER(SUBSTITUTE(TRIM(C2&amp;" "&amp;B2)," ","-"))&amp;".jpg"</f>
        <v>/personnel/paz-abad.jpg</v>
      </c>
      <c r="AL2" s="8" t="s">
        <v>9</v>
      </c>
    </row>
    <row r="3" spans="1:38">
      <c r="A3" s="7">
        <v>2</v>
      </c>
      <c r="B3" s="7" t="s">
        <v>55</v>
      </c>
      <c r="C3" s="7" t="s">
        <v>56</v>
      </c>
      <c r="D3" s="7" t="s">
        <v>57</v>
      </c>
      <c r="E3" s="7" t="str">
        <f t="shared" si="0"/>
        <v>G.</v>
      </c>
      <c r="F3" s="7"/>
      <c r="G3" s="7" t="str">
        <f t="shared" si="1"/>
        <v>Marissa G. Abalo</v>
      </c>
      <c r="H3" s="7" t="s">
        <v>12</v>
      </c>
      <c r="I3" s="6" t="s">
        <v>276</v>
      </c>
      <c r="J3" s="6" t="s">
        <v>352</v>
      </c>
      <c r="K3" s="6" t="s">
        <v>388</v>
      </c>
      <c r="L3" s="7"/>
      <c r="M3" s="7"/>
      <c r="N3" s="7"/>
      <c r="O3" s="7"/>
      <c r="P3" s="8" t="s">
        <v>13</v>
      </c>
      <c r="Q3" s="7" t="s">
        <v>16</v>
      </c>
      <c r="R3" s="8" t="s">
        <v>342</v>
      </c>
      <c r="S3" s="8" t="s">
        <v>342</v>
      </c>
      <c r="T3" s="8"/>
      <c r="U3" s="8"/>
      <c r="V3" s="8"/>
      <c r="W3" s="8"/>
      <c r="X3" s="8" t="s">
        <v>426</v>
      </c>
      <c r="Y3" s="8" t="s">
        <v>428</v>
      </c>
      <c r="Z3" s="8" t="s">
        <v>429</v>
      </c>
      <c r="AA3" s="8"/>
      <c r="AB3" s="8"/>
      <c r="AC3" s="8" t="s">
        <v>475</v>
      </c>
      <c r="AD3" s="8" t="s">
        <v>276</v>
      </c>
      <c r="AE3" s="8"/>
      <c r="AF3" s="8"/>
      <c r="AG3" s="8"/>
      <c r="AH3" s="8"/>
      <c r="AI3" s="8"/>
      <c r="AJ3" s="6"/>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430</v>
      </c>
      <c r="J4" s="6"/>
      <c r="K4" s="6"/>
      <c r="L4" s="7" t="s">
        <v>484</v>
      </c>
      <c r="M4" s="7"/>
      <c r="N4" s="7"/>
      <c r="O4" s="7"/>
      <c r="P4" s="8" t="s">
        <v>13</v>
      </c>
      <c r="Q4" s="7" t="s">
        <v>16</v>
      </c>
      <c r="R4" s="8" t="s">
        <v>339</v>
      </c>
      <c r="S4" s="8" t="s">
        <v>339</v>
      </c>
      <c r="T4" s="8"/>
      <c r="U4" s="8"/>
      <c r="V4" s="8"/>
      <c r="W4" s="8"/>
      <c r="X4" s="8" t="s">
        <v>452</v>
      </c>
      <c r="Y4" s="8"/>
      <c r="Z4" s="8"/>
      <c r="AA4" s="8"/>
      <c r="AB4" s="8"/>
      <c r="AC4" s="8" t="s">
        <v>16</v>
      </c>
      <c r="AD4" s="8" t="s">
        <v>368</v>
      </c>
      <c r="AE4" s="8"/>
      <c r="AF4" s="8"/>
      <c r="AG4" s="8"/>
      <c r="AH4" s="8"/>
      <c r="AI4" s="8"/>
      <c r="AJ4" s="6" t="s">
        <v>488</v>
      </c>
      <c r="AK4" s="7" t="str">
        <f t="shared" si="2"/>
        <v>/personnel/joseph-allosada.jpg</v>
      </c>
      <c r="AL4" s="8" t="s">
        <v>9</v>
      </c>
    </row>
    <row r="5" spans="1:38" ht="33.6">
      <c r="A5" s="7">
        <v>4</v>
      </c>
      <c r="B5" s="7" t="s">
        <v>61</v>
      </c>
      <c r="C5" s="7" t="s">
        <v>62</v>
      </c>
      <c r="D5" s="7" t="s">
        <v>63</v>
      </c>
      <c r="E5" s="7" t="str">
        <f t="shared" si="0"/>
        <v>B.</v>
      </c>
      <c r="F5" s="7"/>
      <c r="G5" s="7" t="str">
        <f t="shared" si="1"/>
        <v>Sharon Gay B. Alsa</v>
      </c>
      <c r="H5" s="7" t="s">
        <v>12</v>
      </c>
      <c r="I5" s="6" t="s">
        <v>276</v>
      </c>
      <c r="J5" s="6" t="s">
        <v>354</v>
      </c>
      <c r="K5" s="6" t="s">
        <v>389</v>
      </c>
      <c r="L5" s="7" t="s">
        <v>431</v>
      </c>
      <c r="M5" s="7" t="s">
        <v>432</v>
      </c>
      <c r="N5" s="7"/>
      <c r="O5" s="7"/>
      <c r="P5" s="8" t="s">
        <v>13</v>
      </c>
      <c r="Q5" s="7" t="s">
        <v>16</v>
      </c>
      <c r="R5" s="8" t="s">
        <v>342</v>
      </c>
      <c r="S5" s="8" t="s">
        <v>342</v>
      </c>
      <c r="T5" s="8"/>
      <c r="U5" s="8"/>
      <c r="V5" s="8"/>
      <c r="W5" s="8"/>
      <c r="X5" s="8" t="s">
        <v>433</v>
      </c>
      <c r="Y5" s="8" t="s">
        <v>427</v>
      </c>
      <c r="Z5" s="8"/>
      <c r="AA5" s="8"/>
      <c r="AB5" s="8"/>
      <c r="AC5" s="8" t="s">
        <v>16</v>
      </c>
      <c r="AD5" s="8" t="s">
        <v>276</v>
      </c>
      <c r="AE5" s="8"/>
      <c r="AF5" s="8"/>
      <c r="AG5" s="8"/>
      <c r="AH5" s="8"/>
      <c r="AI5" s="8"/>
      <c r="AJ5" s="6"/>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412</v>
      </c>
      <c r="L6" s="7"/>
      <c r="M6" s="7"/>
      <c r="N6" s="7"/>
      <c r="O6" s="7"/>
      <c r="P6" s="8" t="s">
        <v>13</v>
      </c>
      <c r="Q6" s="7" t="s">
        <v>14</v>
      </c>
      <c r="R6" s="8" t="s">
        <v>434</v>
      </c>
      <c r="S6" s="8" t="s">
        <v>465</v>
      </c>
      <c r="T6" s="8"/>
      <c r="U6" s="8"/>
      <c r="V6" s="8"/>
      <c r="W6" s="8"/>
      <c r="X6" s="8" t="s">
        <v>481</v>
      </c>
      <c r="Y6" s="8" t="s">
        <v>435</v>
      </c>
      <c r="Z6" s="8"/>
      <c r="AA6" s="8"/>
      <c r="AB6" s="8"/>
      <c r="AC6" s="8" t="s">
        <v>14</v>
      </c>
      <c r="AD6" s="8" t="s">
        <v>276</v>
      </c>
      <c r="AE6" s="8"/>
      <c r="AF6" s="8"/>
      <c r="AG6" s="8"/>
      <c r="AH6" s="8"/>
      <c r="AI6" s="8"/>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390</v>
      </c>
      <c r="L7" s="7" t="s">
        <v>436</v>
      </c>
      <c r="M7" s="7" t="s">
        <v>437</v>
      </c>
      <c r="N7" s="7"/>
      <c r="O7" s="7"/>
      <c r="P7" s="8" t="s">
        <v>13</v>
      </c>
      <c r="Q7" s="7" t="s">
        <v>14</v>
      </c>
      <c r="R7" s="8" t="s">
        <v>466</v>
      </c>
      <c r="S7" s="8" t="s">
        <v>466</v>
      </c>
      <c r="T7" s="8"/>
      <c r="U7" s="8"/>
      <c r="V7" s="8"/>
      <c r="W7" s="8"/>
      <c r="X7" s="8" t="s">
        <v>450</v>
      </c>
      <c r="Y7" s="8"/>
      <c r="Z7" s="8"/>
      <c r="AA7" s="8"/>
      <c r="AB7" s="8"/>
      <c r="AC7" s="8" t="s">
        <v>16</v>
      </c>
      <c r="AD7" s="8" t="s">
        <v>276</v>
      </c>
      <c r="AE7" s="8"/>
      <c r="AF7" s="8"/>
      <c r="AG7" s="8"/>
      <c r="AH7" s="8"/>
      <c r="AI7" s="8"/>
      <c r="AJ7" s="6" t="s">
        <v>492</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382</v>
      </c>
      <c r="S8" s="8"/>
      <c r="T8" s="8"/>
      <c r="U8" s="8"/>
      <c r="V8" s="8"/>
      <c r="W8" s="8"/>
      <c r="X8" s="8"/>
      <c r="Y8" s="8"/>
      <c r="Z8" s="8"/>
      <c r="AA8" s="8"/>
      <c r="AB8" s="8"/>
      <c r="AC8" s="8"/>
      <c r="AD8" s="8" t="s">
        <v>363</v>
      </c>
      <c r="AE8" s="8"/>
      <c r="AF8" s="8"/>
      <c r="AG8" s="8"/>
      <c r="AH8" s="8"/>
      <c r="AI8" s="8"/>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471</v>
      </c>
      <c r="J9" s="6"/>
      <c r="K9" s="6"/>
      <c r="L9" s="7"/>
      <c r="M9" s="7"/>
      <c r="N9" s="7"/>
      <c r="O9" s="7"/>
      <c r="P9" s="8" t="s">
        <v>371</v>
      </c>
      <c r="Q9" s="7" t="s">
        <v>370</v>
      </c>
      <c r="R9" s="8" t="s">
        <v>382</v>
      </c>
      <c r="S9" s="8" t="s">
        <v>382</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438</v>
      </c>
      <c r="J10" s="6"/>
      <c r="K10" s="6"/>
      <c r="L10" s="7" t="s">
        <v>439</v>
      </c>
      <c r="M10" s="7"/>
      <c r="N10" s="7"/>
      <c r="O10" s="7"/>
      <c r="P10" s="8" t="s">
        <v>13</v>
      </c>
      <c r="Q10" s="7" t="s">
        <v>16</v>
      </c>
      <c r="R10" s="8" t="s">
        <v>466</v>
      </c>
      <c r="S10" s="8" t="s">
        <v>466</v>
      </c>
      <c r="T10" s="8"/>
      <c r="U10" s="8"/>
      <c r="V10" s="8"/>
      <c r="W10" s="8"/>
      <c r="X10" s="8" t="s">
        <v>451</v>
      </c>
      <c r="Y10" s="8"/>
      <c r="Z10" s="8"/>
      <c r="AA10" s="8"/>
      <c r="AB10" s="8"/>
      <c r="AC10" s="8" t="s">
        <v>16</v>
      </c>
      <c r="AD10" s="8" t="s">
        <v>367</v>
      </c>
      <c r="AE10" s="8"/>
      <c r="AF10" s="8"/>
      <c r="AG10" s="8"/>
      <c r="AH10" s="8"/>
      <c r="AI10" s="8"/>
      <c r="AJ10" s="6"/>
      <c r="AK10" s="7" t="str">
        <f t="shared" si="2"/>
        <v>/personnel/glenn-barangan.jpg</v>
      </c>
      <c r="AL10" s="8" t="s">
        <v>9</v>
      </c>
    </row>
    <row r="11" spans="1:38">
      <c r="A11" s="7">
        <v>9</v>
      </c>
      <c r="B11" s="7" t="s">
        <v>107</v>
      </c>
      <c r="C11" s="7" t="s">
        <v>132</v>
      </c>
      <c r="D11" s="7" t="s">
        <v>72</v>
      </c>
      <c r="E11" s="7" t="str">
        <f t="shared" si="0"/>
        <v>T.</v>
      </c>
      <c r="F11" s="7"/>
      <c r="G11" s="7" t="str">
        <f t="shared" si="1"/>
        <v>Jake T. Barcenas</v>
      </c>
      <c r="H11" s="7" t="s">
        <v>12</v>
      </c>
      <c r="I11" s="6" t="s">
        <v>276</v>
      </c>
      <c r="J11" s="6" t="s">
        <v>354</v>
      </c>
      <c r="K11" s="6" t="s">
        <v>391</v>
      </c>
      <c r="L11" s="7" t="s">
        <v>440</v>
      </c>
      <c r="M11" s="7" t="s">
        <v>441</v>
      </c>
      <c r="N11" s="7"/>
      <c r="O11" s="7"/>
      <c r="P11" s="8" t="s">
        <v>13</v>
      </c>
      <c r="Q11" s="7" t="s">
        <v>14</v>
      </c>
      <c r="R11" s="8" t="s">
        <v>383</v>
      </c>
      <c r="S11" s="8" t="s">
        <v>383</v>
      </c>
      <c r="T11" s="8"/>
      <c r="U11" s="8"/>
      <c r="V11" s="8"/>
      <c r="W11" s="8"/>
      <c r="X11" s="8" t="s">
        <v>442</v>
      </c>
      <c r="Y11" s="8"/>
      <c r="Z11" s="8"/>
      <c r="AA11" s="8"/>
      <c r="AB11" s="8"/>
      <c r="AC11" s="8" t="s">
        <v>16</v>
      </c>
      <c r="AD11" s="8" t="s">
        <v>276</v>
      </c>
      <c r="AE11" s="8"/>
      <c r="AF11" s="8"/>
      <c r="AG11" s="8"/>
      <c r="AH11" s="8"/>
      <c r="AI11" s="8"/>
      <c r="AJ11" s="6"/>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392</v>
      </c>
      <c r="L12" s="7" t="s">
        <v>443</v>
      </c>
      <c r="M12" s="7"/>
      <c r="N12" s="7"/>
      <c r="O12" s="7"/>
      <c r="P12" s="8" t="s">
        <v>13</v>
      </c>
      <c r="Q12" s="7" t="s">
        <v>16</v>
      </c>
      <c r="R12" s="8" t="s">
        <v>340</v>
      </c>
      <c r="S12" s="8" t="s">
        <v>340</v>
      </c>
      <c r="T12" s="8"/>
      <c r="U12" s="8"/>
      <c r="V12" s="8"/>
      <c r="W12" s="8"/>
      <c r="X12" s="8" t="s">
        <v>444</v>
      </c>
      <c r="Y12" s="8"/>
      <c r="Z12" s="8"/>
      <c r="AA12" s="8"/>
      <c r="AB12" s="8"/>
      <c r="AC12" s="8" t="s">
        <v>16</v>
      </c>
      <c r="AD12" s="8" t="s">
        <v>276</v>
      </c>
      <c r="AE12" s="8"/>
      <c r="AF12" s="8"/>
      <c r="AG12" s="8"/>
      <c r="AH12" s="8"/>
      <c r="AI12" s="8"/>
      <c r="AJ12" s="6" t="s">
        <v>493</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415</v>
      </c>
      <c r="L13" s="7" t="s">
        <v>446</v>
      </c>
      <c r="M13" s="7" t="s">
        <v>445</v>
      </c>
      <c r="N13" s="7" t="s">
        <v>485</v>
      </c>
      <c r="O13" s="7"/>
      <c r="P13" s="8" t="s">
        <v>13</v>
      </c>
      <c r="Q13" s="7" t="s">
        <v>14</v>
      </c>
      <c r="R13" s="8" t="s">
        <v>341</v>
      </c>
      <c r="S13" s="8" t="s">
        <v>341</v>
      </c>
      <c r="T13" s="8"/>
      <c r="U13" s="8"/>
      <c r="V13" s="8"/>
      <c r="W13" s="8"/>
      <c r="X13" s="8" t="s">
        <v>447</v>
      </c>
      <c r="Y13" s="8" t="s">
        <v>448</v>
      </c>
      <c r="Z13" s="8"/>
      <c r="AA13" s="8"/>
      <c r="AB13" s="8"/>
      <c r="AC13" s="8" t="s">
        <v>475</v>
      </c>
      <c r="AD13" s="8" t="s">
        <v>276</v>
      </c>
      <c r="AE13" s="8"/>
      <c r="AF13" s="8"/>
      <c r="AG13" s="8"/>
      <c r="AH13" s="8"/>
      <c r="AI13" s="8"/>
      <c r="AJ13" s="6" t="s">
        <v>494</v>
      </c>
      <c r="AK13" s="7" t="str">
        <f t="shared" si="2"/>
        <v>/personnel/angel-batuigas.jpg</v>
      </c>
      <c r="AL13" s="8" t="s">
        <v>9</v>
      </c>
    </row>
    <row r="14" spans="1:38" ht="33.6">
      <c r="A14" s="7">
        <v>12</v>
      </c>
      <c r="B14" s="7" t="s">
        <v>110</v>
      </c>
      <c r="C14" s="7" t="s">
        <v>135</v>
      </c>
      <c r="D14" s="7" t="s">
        <v>75</v>
      </c>
      <c r="E14" s="7" t="str">
        <f t="shared" si="0"/>
        <v>L.</v>
      </c>
      <c r="F14" s="7"/>
      <c r="G14" s="7" t="str">
        <f t="shared" si="1"/>
        <v>Mary Josephine L. Bawiga</v>
      </c>
      <c r="H14" s="7" t="s">
        <v>12</v>
      </c>
      <c r="I14" s="6" t="s">
        <v>449</v>
      </c>
      <c r="J14" s="6"/>
      <c r="K14" s="6"/>
      <c r="L14" s="7"/>
      <c r="M14" s="7"/>
      <c r="N14" s="7"/>
      <c r="O14" s="7"/>
      <c r="P14" s="8" t="s">
        <v>13</v>
      </c>
      <c r="Q14" s="7" t="s">
        <v>16</v>
      </c>
      <c r="R14" s="8" t="s">
        <v>342</v>
      </c>
      <c r="S14" s="8" t="s">
        <v>342</v>
      </c>
      <c r="T14" s="8"/>
      <c r="U14" s="8"/>
      <c r="V14" s="8"/>
      <c r="W14" s="8"/>
      <c r="X14" s="8" t="s">
        <v>453</v>
      </c>
      <c r="Y14" s="8"/>
      <c r="Z14" s="8"/>
      <c r="AA14" s="8"/>
      <c r="AB14" s="8"/>
      <c r="AC14" s="8" t="s">
        <v>16</v>
      </c>
      <c r="AD14" s="8" t="s">
        <v>368</v>
      </c>
      <c r="AE14" s="8"/>
      <c r="AF14" s="8"/>
      <c r="AG14" s="8"/>
      <c r="AH14" s="8"/>
      <c r="AI14" s="8"/>
      <c r="AJ14" s="6"/>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393</v>
      </c>
      <c r="L15" s="7" t="s">
        <v>454</v>
      </c>
      <c r="M15" s="7"/>
      <c r="N15" s="7"/>
      <c r="O15" s="7"/>
      <c r="P15" s="8" t="s">
        <v>13</v>
      </c>
      <c r="Q15" s="7" t="s">
        <v>14</v>
      </c>
      <c r="R15" s="8" t="s">
        <v>339</v>
      </c>
      <c r="S15" s="8" t="s">
        <v>339</v>
      </c>
      <c r="T15" s="8"/>
      <c r="U15" s="8"/>
      <c r="V15" s="8"/>
      <c r="W15" s="8"/>
      <c r="X15" s="8" t="s">
        <v>456</v>
      </c>
      <c r="Y15" s="8" t="s">
        <v>455</v>
      </c>
      <c r="Z15" s="8"/>
      <c r="AA15" s="8"/>
      <c r="AB15" s="8"/>
      <c r="AC15" s="8" t="s">
        <v>475</v>
      </c>
      <c r="AD15" s="8" t="s">
        <v>276</v>
      </c>
      <c r="AE15" s="8"/>
      <c r="AF15" s="8"/>
      <c r="AG15" s="8"/>
      <c r="AH15" s="8"/>
      <c r="AI15" s="8"/>
      <c r="AJ15" s="6" t="s">
        <v>495</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457</v>
      </c>
      <c r="M16" s="7" t="s">
        <v>458</v>
      </c>
      <c r="N16" s="7" t="s">
        <v>486</v>
      </c>
      <c r="O16" s="7"/>
      <c r="P16" s="8" t="s">
        <v>13</v>
      </c>
      <c r="Q16" s="7" t="s">
        <v>14</v>
      </c>
      <c r="R16" s="8" t="s">
        <v>333</v>
      </c>
      <c r="S16" s="8" t="s">
        <v>333</v>
      </c>
      <c r="T16" s="8"/>
      <c r="U16" s="8"/>
      <c r="V16" s="8"/>
      <c r="W16" s="8"/>
      <c r="X16" s="8" t="s">
        <v>459</v>
      </c>
      <c r="Y16" s="8" t="s">
        <v>460</v>
      </c>
      <c r="Z16" s="8"/>
      <c r="AA16" s="8"/>
      <c r="AB16" s="8"/>
      <c r="AC16" s="8" t="s">
        <v>14</v>
      </c>
      <c r="AD16" s="8" t="s">
        <v>364</v>
      </c>
      <c r="AE16" s="8"/>
      <c r="AF16" s="8"/>
      <c r="AG16" s="8">
        <v>1</v>
      </c>
      <c r="AH16" s="8"/>
      <c r="AI16" s="8"/>
      <c r="AJ16" s="6" t="s">
        <v>489</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411</v>
      </c>
      <c r="L17" s="7" t="s">
        <v>461</v>
      </c>
      <c r="M17" s="7"/>
      <c r="N17" s="7"/>
      <c r="O17" s="7"/>
      <c r="P17" s="8" t="s">
        <v>13</v>
      </c>
      <c r="Q17" s="7" t="s">
        <v>16</v>
      </c>
      <c r="R17" s="8" t="s">
        <v>333</v>
      </c>
      <c r="S17" s="8" t="s">
        <v>333</v>
      </c>
      <c r="T17" s="8"/>
      <c r="U17" s="8"/>
      <c r="V17" s="8"/>
      <c r="W17" s="8"/>
      <c r="X17" s="8" t="s">
        <v>462</v>
      </c>
      <c r="Y17" s="8" t="s">
        <v>463</v>
      </c>
      <c r="Z17" s="8"/>
      <c r="AA17" s="8"/>
      <c r="AB17" s="8"/>
      <c r="AC17" s="8" t="s">
        <v>475</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c r="Y18" s="8"/>
      <c r="Z18" s="8"/>
      <c r="AA18" s="8"/>
      <c r="AB18" s="8"/>
      <c r="AC18" s="8"/>
      <c r="AD18" s="8"/>
      <c r="AE18" s="8"/>
      <c r="AF18" s="8"/>
      <c r="AG18" s="8"/>
      <c r="AH18" s="8"/>
      <c r="AI18" s="8"/>
      <c r="AJ18" s="6" t="s">
        <v>496</v>
      </c>
      <c r="AK18" s="7" t="str">
        <f t="shared" si="2"/>
        <v>/personnel/sharon-broñola.jpg</v>
      </c>
      <c r="AL18" s="8" t="s">
        <v>9</v>
      </c>
    </row>
    <row r="19" spans="1:38" ht="33.6">
      <c r="A19" s="7">
        <v>17</v>
      </c>
      <c r="B19" s="7" t="s">
        <v>114</v>
      </c>
      <c r="C19" s="7" t="s">
        <v>140</v>
      </c>
      <c r="D19" s="7" t="s">
        <v>79</v>
      </c>
      <c r="E19" s="7" t="str">
        <f t="shared" si="0"/>
        <v>A.</v>
      </c>
      <c r="F19" s="7"/>
      <c r="G19" s="7" t="str">
        <f t="shared" si="1"/>
        <v>Joan A. Cabalda</v>
      </c>
      <c r="H19" s="7" t="s">
        <v>259</v>
      </c>
      <c r="I19" s="6" t="s">
        <v>376</v>
      </c>
      <c r="J19" s="6"/>
      <c r="K19" s="6"/>
      <c r="L19" s="7"/>
      <c r="M19" s="7"/>
      <c r="N19" s="7"/>
      <c r="O19" s="7"/>
      <c r="P19" s="8" t="s">
        <v>7</v>
      </c>
      <c r="Q19" s="7" t="s">
        <v>14</v>
      </c>
      <c r="R19" s="8" t="s">
        <v>382</v>
      </c>
      <c r="S19" s="8" t="s">
        <v>7</v>
      </c>
      <c r="T19" s="8"/>
      <c r="U19" s="8"/>
      <c r="V19" s="8"/>
      <c r="W19" s="8"/>
      <c r="X19" s="8"/>
      <c r="Y19" s="8"/>
      <c r="Z19" s="8"/>
      <c r="AA19" s="8"/>
      <c r="AB19" s="8"/>
      <c r="AC19" s="8"/>
      <c r="AD19" s="8"/>
      <c r="AE19" s="8"/>
      <c r="AF19" s="8"/>
      <c r="AG19" s="8"/>
      <c r="AH19" s="8"/>
      <c r="AI19" s="8"/>
      <c r="AJ19" s="6"/>
      <c r="AK19" s="7" t="str">
        <f t="shared" si="2"/>
        <v>/personnel/joan-cabalda.jpg</v>
      </c>
      <c r="AL19" s="8" t="s">
        <v>9</v>
      </c>
    </row>
    <row r="20" spans="1:38">
      <c r="A20" s="7">
        <v>19</v>
      </c>
      <c r="B20" s="7" t="s">
        <v>116</v>
      </c>
      <c r="C20" s="7" t="s">
        <v>142</v>
      </c>
      <c r="D20" s="7" t="s">
        <v>81</v>
      </c>
      <c r="E20" s="7" t="str">
        <f t="shared" si="0"/>
        <v>R.</v>
      </c>
      <c r="F20" s="7"/>
      <c r="G20" s="7" t="str">
        <f t="shared" si="1"/>
        <v>Hector R. Cabanca</v>
      </c>
      <c r="H20" s="7" t="s">
        <v>10</v>
      </c>
      <c r="I20" s="6" t="s">
        <v>508</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c r="AJ20" s="6"/>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394</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395</v>
      </c>
      <c r="L22" s="7"/>
      <c r="M22" s="7"/>
      <c r="N22" s="7"/>
      <c r="O22" s="7"/>
      <c r="P22" s="8" t="s">
        <v>13</v>
      </c>
      <c r="Q22" s="7" t="s">
        <v>16</v>
      </c>
      <c r="R22" s="8"/>
      <c r="S22" s="8"/>
      <c r="T22" s="8"/>
      <c r="U22" s="8"/>
      <c r="V22" s="8"/>
      <c r="W22" s="8"/>
      <c r="X22" s="8"/>
      <c r="Y22" s="8"/>
      <c r="Z22" s="8"/>
      <c r="AA22" s="8"/>
      <c r="AB22" s="8"/>
      <c r="AC22" s="8"/>
      <c r="AD22" s="8" t="s">
        <v>276</v>
      </c>
      <c r="AE22" s="8"/>
      <c r="AF22" s="8"/>
      <c r="AG22" s="8"/>
      <c r="AH22" s="8"/>
      <c r="AI22" s="8"/>
      <c r="AJ22" s="6"/>
      <c r="AK22" s="7" t="str">
        <f t="shared" si="2"/>
        <v>/personnel/marilou-cabriana.jpg</v>
      </c>
      <c r="AL22" s="8" t="s">
        <v>9</v>
      </c>
    </row>
    <row r="23" spans="1:38">
      <c r="A23" s="7">
        <v>68</v>
      </c>
      <c r="B23" s="7" t="s">
        <v>372</v>
      </c>
      <c r="C23" s="7" t="s">
        <v>375</v>
      </c>
      <c r="D23" s="7" t="s">
        <v>197</v>
      </c>
      <c r="E23" s="7" t="str">
        <f t="shared" si="0"/>
        <v>B.</v>
      </c>
      <c r="F23" s="7"/>
      <c r="G23" s="7" t="str">
        <f t="shared" si="1"/>
        <v>Luie B. Cabs</v>
      </c>
      <c r="H23" s="7" t="s">
        <v>266</v>
      </c>
      <c r="I23" s="6" t="s">
        <v>472</v>
      </c>
      <c r="J23" s="6"/>
      <c r="K23" s="6"/>
      <c r="L23" s="7"/>
      <c r="M23" s="7"/>
      <c r="N23" s="7"/>
      <c r="O23" s="7"/>
      <c r="P23" s="8" t="s">
        <v>239</v>
      </c>
      <c r="Q23" s="7" t="s">
        <v>370</v>
      </c>
      <c r="R23" s="8" t="s">
        <v>382</v>
      </c>
      <c r="S23" s="8" t="s">
        <v>382</v>
      </c>
      <c r="T23" s="8"/>
      <c r="U23" s="8"/>
      <c r="V23" s="8"/>
      <c r="W23" s="8"/>
      <c r="X23" s="8"/>
      <c r="Y23" s="8"/>
      <c r="Z23" s="8"/>
      <c r="AA23" s="8"/>
      <c r="AB23" s="8"/>
      <c r="AC23" s="8"/>
      <c r="AD23" s="8" t="s">
        <v>369</v>
      </c>
      <c r="AE23" s="8"/>
      <c r="AF23" s="8"/>
      <c r="AG23" s="8"/>
      <c r="AH23" s="8"/>
      <c r="AI23" s="8"/>
      <c r="AJ23" s="6"/>
      <c r="AK23" s="7" t="str">
        <f t="shared" si="2"/>
        <v>/personnel/luie-cabs.jpg</v>
      </c>
      <c r="AL23" s="8" t="s">
        <v>9</v>
      </c>
    </row>
    <row r="24" spans="1:38">
      <c r="A24" s="7">
        <v>22</v>
      </c>
      <c r="B24" s="7" t="s">
        <v>119</v>
      </c>
      <c r="C24" s="7" t="s">
        <v>145</v>
      </c>
      <c r="D24" s="7" t="s">
        <v>84</v>
      </c>
      <c r="E24" s="7" t="str">
        <f t="shared" si="0"/>
        <v>B.</v>
      </c>
      <c r="F24" s="7"/>
      <c r="G24" s="7" t="str">
        <f t="shared" si="1"/>
        <v>Jasmin B. Cabuenas</v>
      </c>
      <c r="H24" s="7" t="s">
        <v>261</v>
      </c>
      <c r="I24" s="6" t="s">
        <v>363</v>
      </c>
      <c r="J24" s="6"/>
      <c r="K24" s="6"/>
      <c r="L24" s="7"/>
      <c r="M24" s="7"/>
      <c r="N24" s="7"/>
      <c r="O24" s="7"/>
      <c r="P24" s="8" t="s">
        <v>7</v>
      </c>
      <c r="Q24" s="7" t="s">
        <v>7</v>
      </c>
      <c r="R24" s="8" t="s">
        <v>382</v>
      </c>
      <c r="S24" s="8" t="s">
        <v>464</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c r="A25" s="7">
        <v>18</v>
      </c>
      <c r="B25" s="7" t="s">
        <v>115</v>
      </c>
      <c r="C25" s="7" t="s">
        <v>141</v>
      </c>
      <c r="D25" s="7" t="s">
        <v>80</v>
      </c>
      <c r="E25" s="7" t="str">
        <f t="shared" si="0"/>
        <v>M.</v>
      </c>
      <c r="F25" s="7"/>
      <c r="G25" s="7" t="str">
        <f t="shared" si="1"/>
        <v>Gracelyn M. Cabunag</v>
      </c>
      <c r="H25" s="7" t="s">
        <v>248</v>
      </c>
      <c r="I25" s="6" t="s">
        <v>381</v>
      </c>
      <c r="J25" s="6"/>
      <c r="K25" s="6"/>
      <c r="L25" s="7"/>
      <c r="M25" s="7"/>
      <c r="N25" s="7"/>
      <c r="O25" s="7"/>
      <c r="P25" s="8" t="s">
        <v>13</v>
      </c>
      <c r="Q25" s="7" t="s">
        <v>14</v>
      </c>
      <c r="R25" s="8" t="s">
        <v>338</v>
      </c>
      <c r="S25" s="8" t="s">
        <v>338</v>
      </c>
      <c r="T25" s="8"/>
      <c r="U25" s="8"/>
      <c r="V25" s="8"/>
      <c r="W25" s="8"/>
      <c r="X25" s="8"/>
      <c r="Y25" s="8"/>
      <c r="Z25" s="8"/>
      <c r="AA25" s="8"/>
      <c r="AB25" s="8"/>
      <c r="AC25" s="8"/>
      <c r="AD25" s="8" t="s">
        <v>364</v>
      </c>
      <c r="AE25" s="8"/>
      <c r="AF25" s="8"/>
      <c r="AG25" s="8"/>
      <c r="AH25" s="8"/>
      <c r="AI25" s="8"/>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384</v>
      </c>
      <c r="J26" s="6"/>
      <c r="K26" s="6"/>
      <c r="L26" s="7"/>
      <c r="M26" s="7"/>
      <c r="N26" s="7"/>
      <c r="O26" s="7"/>
      <c r="P26" s="8" t="s">
        <v>13</v>
      </c>
      <c r="Q26" s="7" t="s">
        <v>16</v>
      </c>
      <c r="R26" s="8" t="s">
        <v>333</v>
      </c>
      <c r="S26" s="8" t="s">
        <v>333</v>
      </c>
      <c r="T26" s="8"/>
      <c r="U26" s="8"/>
      <c r="V26" s="8"/>
      <c r="W26" s="8"/>
      <c r="X26" s="8"/>
      <c r="Y26" s="8"/>
      <c r="Z26" s="8"/>
      <c r="AA26" s="8"/>
      <c r="AB26" s="8"/>
      <c r="AC26" s="8"/>
      <c r="AD26" s="8" t="s">
        <v>368</v>
      </c>
      <c r="AE26" s="8"/>
      <c r="AF26" s="8"/>
      <c r="AG26" s="8"/>
      <c r="AH26" s="8"/>
      <c r="AI26" s="8"/>
      <c r="AJ26" s="6" t="s">
        <v>497</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396</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498</v>
      </c>
      <c r="AK27" s="7" t="str">
        <f t="shared" si="2"/>
        <v>/personnel/leslyn-rose-camero.jpg</v>
      </c>
      <c r="AL27" s="8" t="s">
        <v>9</v>
      </c>
    </row>
    <row r="28" spans="1:38" ht="235.2">
      <c r="A28" s="7">
        <v>26</v>
      </c>
      <c r="B28" s="7" t="s">
        <v>104</v>
      </c>
      <c r="C28" s="7" t="s">
        <v>149</v>
      </c>
      <c r="D28" s="7"/>
      <c r="E28" s="7" t="str">
        <f t="shared" si="0"/>
        <v/>
      </c>
      <c r="F28" s="7"/>
      <c r="G28" s="7" t="str">
        <f t="shared" si="1"/>
        <v>Lourence Capa</v>
      </c>
      <c r="H28" s="7" t="s">
        <v>15</v>
      </c>
      <c r="I28" s="6" t="s">
        <v>276</v>
      </c>
      <c r="J28" s="6" t="s">
        <v>353</v>
      </c>
      <c r="K28" s="6" t="s">
        <v>397</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499</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377</v>
      </c>
      <c r="J29" s="6"/>
      <c r="K29" s="6"/>
      <c r="L29" s="7"/>
      <c r="M29" s="7"/>
      <c r="N29" s="7"/>
      <c r="O29" s="7"/>
      <c r="P29" s="8" t="s">
        <v>7</v>
      </c>
      <c r="Q29" s="7" t="s">
        <v>16</v>
      </c>
      <c r="R29" s="8" t="s">
        <v>382</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398</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471</v>
      </c>
      <c r="J31" s="6"/>
      <c r="K31" s="6"/>
      <c r="L31" s="7"/>
      <c r="M31" s="7"/>
      <c r="N31" s="7"/>
      <c r="O31" s="7"/>
      <c r="P31" s="8" t="s">
        <v>371</v>
      </c>
      <c r="Q31" s="7" t="s">
        <v>370</v>
      </c>
      <c r="R31" s="8" t="s">
        <v>382</v>
      </c>
      <c r="S31" s="8" t="s">
        <v>382</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414</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514</v>
      </c>
      <c r="J33" s="6"/>
      <c r="K33" s="6"/>
      <c r="L33" s="7"/>
      <c r="M33" s="7"/>
      <c r="N33" s="7"/>
      <c r="O33" s="7"/>
      <c r="P33" s="8" t="s">
        <v>13</v>
      </c>
      <c r="Q33" s="7" t="s">
        <v>16</v>
      </c>
      <c r="R33" s="8" t="s">
        <v>341</v>
      </c>
      <c r="S33" s="8"/>
      <c r="T33" s="8" t="s">
        <v>464</v>
      </c>
      <c r="U33" s="8"/>
      <c r="V33" s="8"/>
      <c r="W33" s="8"/>
      <c r="X33" s="8"/>
      <c r="Y33" s="8"/>
      <c r="Z33" s="8"/>
      <c r="AA33" s="8"/>
      <c r="AB33" s="8"/>
      <c r="AC33" s="8"/>
      <c r="AD33" s="8" t="s">
        <v>368</v>
      </c>
      <c r="AE33" s="8"/>
      <c r="AF33" s="8"/>
      <c r="AG33" s="8"/>
      <c r="AH33" s="8"/>
      <c r="AI33" s="8" t="s">
        <v>515</v>
      </c>
      <c r="AJ33" s="6" t="s">
        <v>516</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368</v>
      </c>
      <c r="J34" s="6"/>
      <c r="K34" s="6"/>
      <c r="L34" s="7"/>
      <c r="M34" s="7"/>
      <c r="N34" s="7"/>
      <c r="O34" s="7"/>
      <c r="P34" s="8" t="s">
        <v>13</v>
      </c>
      <c r="Q34" s="7" t="s">
        <v>16</v>
      </c>
      <c r="R34" s="8" t="s">
        <v>342</v>
      </c>
      <c r="S34" s="8" t="s">
        <v>342</v>
      </c>
      <c r="T34" s="8"/>
      <c r="U34" s="8"/>
      <c r="V34" s="8"/>
      <c r="W34" s="8"/>
      <c r="X34" s="8"/>
      <c r="Y34" s="8"/>
      <c r="Z34" s="8"/>
      <c r="AA34" s="8"/>
      <c r="AB34" s="8"/>
      <c r="AC34" s="8" t="s">
        <v>16</v>
      </c>
      <c r="AD34" s="8" t="s">
        <v>368</v>
      </c>
      <c r="AE34" s="8"/>
      <c r="AF34" s="8"/>
      <c r="AG34" s="8"/>
      <c r="AH34" s="8"/>
      <c r="AI34" s="8"/>
      <c r="AJ34" s="6" t="s">
        <v>491</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465</v>
      </c>
      <c r="S35" s="8" t="s">
        <v>465</v>
      </c>
      <c r="T35" s="8"/>
      <c r="U35" s="8"/>
      <c r="V35" s="8"/>
      <c r="W35" s="8"/>
      <c r="X35" s="8" t="s">
        <v>480</v>
      </c>
      <c r="Y35" s="8"/>
      <c r="Z35" s="8"/>
      <c r="AA35" s="8"/>
      <c r="AB35" s="8"/>
      <c r="AC35" s="8" t="s">
        <v>14</v>
      </c>
      <c r="AD35" s="8" t="s">
        <v>364</v>
      </c>
      <c r="AE35" s="8"/>
      <c r="AF35" s="8"/>
      <c r="AG35" s="8"/>
      <c r="AH35" s="8"/>
      <c r="AI35" s="8"/>
      <c r="AJ35" s="6"/>
      <c r="AK35" s="7" t="str">
        <f t="shared" si="5"/>
        <v>/personnel/benerando-erediano.jpg</v>
      </c>
      <c r="AL35" s="8" t="s">
        <v>9</v>
      </c>
    </row>
    <row r="36" spans="1:38">
      <c r="A36" s="7">
        <v>32</v>
      </c>
      <c r="B36" s="7" t="s">
        <v>127</v>
      </c>
      <c r="C36" s="7" t="s">
        <v>167</v>
      </c>
      <c r="D36" s="7" t="s">
        <v>92</v>
      </c>
      <c r="E36" s="7" t="str">
        <f t="shared" si="3"/>
        <v>A.</v>
      </c>
      <c r="F36" s="7"/>
      <c r="G36" s="7" t="str">
        <f t="shared" si="4"/>
        <v>Metchie Gay A. Gastanes</v>
      </c>
      <c r="H36" s="7" t="s">
        <v>243</v>
      </c>
      <c r="I36" s="6" t="s">
        <v>509</v>
      </c>
      <c r="J36" s="6"/>
      <c r="K36" s="6"/>
      <c r="L36" s="7"/>
      <c r="M36" s="7"/>
      <c r="N36" s="7"/>
      <c r="O36" s="7"/>
      <c r="P36" s="8" t="s">
        <v>13</v>
      </c>
      <c r="Q36" s="7" t="s">
        <v>16</v>
      </c>
      <c r="R36" s="8" t="s">
        <v>340</v>
      </c>
      <c r="S36" s="8" t="s">
        <v>340</v>
      </c>
      <c r="T36" s="8"/>
      <c r="U36" s="8"/>
      <c r="V36" s="8"/>
      <c r="W36" s="8"/>
      <c r="X36" s="8"/>
      <c r="Y36" s="8"/>
      <c r="Z36" s="8"/>
      <c r="AA36" s="8"/>
      <c r="AB36" s="8"/>
      <c r="AC36" s="8"/>
      <c r="AD36" s="8" t="s">
        <v>366</v>
      </c>
      <c r="AE36" s="8"/>
      <c r="AF36" s="8"/>
      <c r="AG36" s="8">
        <v>4</v>
      </c>
      <c r="AH36" s="8"/>
      <c r="AI36" s="8"/>
      <c r="AJ36" s="6"/>
      <c r="AK36" s="7" t="str">
        <f t="shared" si="5"/>
        <v>/personnel/metchie-gay-gastanes.jpg</v>
      </c>
      <c r="AL36" s="8" t="s">
        <v>9</v>
      </c>
    </row>
    <row r="37" spans="1:38">
      <c r="A37" s="7">
        <v>33</v>
      </c>
      <c r="B37" s="7" t="s">
        <v>128</v>
      </c>
      <c r="C37" s="7" t="s">
        <v>145</v>
      </c>
      <c r="D37" s="7" t="s">
        <v>93</v>
      </c>
      <c r="E37" s="7" t="str">
        <f t="shared" si="3"/>
        <v>B.</v>
      </c>
      <c r="F37" s="7"/>
      <c r="G37" s="7" t="str">
        <f t="shared" si="4"/>
        <v>Jasmin B. Gerodias</v>
      </c>
      <c r="H37" s="7" t="s">
        <v>12</v>
      </c>
      <c r="I37" s="6" t="s">
        <v>380</v>
      </c>
      <c r="J37" s="6"/>
      <c r="K37" s="6"/>
      <c r="L37" s="7"/>
      <c r="M37" s="7"/>
      <c r="N37" s="7"/>
      <c r="O37" s="7"/>
      <c r="P37" s="8" t="s">
        <v>13</v>
      </c>
      <c r="Q37" s="7" t="s">
        <v>16</v>
      </c>
      <c r="R37" s="8" t="s">
        <v>466</v>
      </c>
      <c r="S37" s="8" t="s">
        <v>466</v>
      </c>
      <c r="T37" s="8"/>
      <c r="U37" s="8"/>
      <c r="V37" s="8"/>
      <c r="W37" s="8"/>
      <c r="X37" s="8"/>
      <c r="Y37" s="8"/>
      <c r="Z37" s="8"/>
      <c r="AA37" s="8"/>
      <c r="AB37" s="8"/>
      <c r="AC37" s="8"/>
      <c r="AD37" s="8" t="s">
        <v>364</v>
      </c>
      <c r="AE37" s="8"/>
      <c r="AF37" s="8"/>
      <c r="AG37" s="8"/>
      <c r="AH37" s="8"/>
      <c r="AI37" s="8"/>
      <c r="AJ37" s="6"/>
      <c r="AK37" s="7" t="str">
        <f t="shared" si="5"/>
        <v>/personnel/jasmin-gerodias.jpg</v>
      </c>
      <c r="AL37" s="8" t="s">
        <v>9</v>
      </c>
    </row>
    <row r="38" spans="1:38">
      <c r="A38" s="7">
        <v>34</v>
      </c>
      <c r="B38" s="7" t="s">
        <v>129</v>
      </c>
      <c r="C38" s="7" t="s">
        <v>168</v>
      </c>
      <c r="D38" s="7" t="s">
        <v>94</v>
      </c>
      <c r="E38" s="7" t="str">
        <f t="shared" si="3"/>
        <v>D.</v>
      </c>
      <c r="F38" s="7"/>
      <c r="G38" s="7" t="str">
        <f t="shared" si="4"/>
        <v>Jeralyn D. Gerra</v>
      </c>
      <c r="H38" s="7" t="s">
        <v>12</v>
      </c>
      <c r="I38" s="6" t="s">
        <v>276</v>
      </c>
      <c r="J38" s="6" t="s">
        <v>352</v>
      </c>
      <c r="K38" s="6" t="s">
        <v>399</v>
      </c>
      <c r="L38" s="7"/>
      <c r="M38" s="7"/>
      <c r="N38" s="7"/>
      <c r="O38" s="7"/>
      <c r="P38" s="8" t="s">
        <v>13</v>
      </c>
      <c r="Q38" s="7" t="s">
        <v>16</v>
      </c>
      <c r="R38" s="8" t="s">
        <v>333</v>
      </c>
      <c r="S38" s="8"/>
      <c r="T38" s="8"/>
      <c r="U38" s="8"/>
      <c r="V38" s="8"/>
      <c r="W38" s="8"/>
      <c r="X38" s="8"/>
      <c r="Y38" s="8"/>
      <c r="Z38" s="8"/>
      <c r="AA38" s="8"/>
      <c r="AB38" s="8"/>
      <c r="AC38" s="8"/>
      <c r="AD38" s="8" t="s">
        <v>276</v>
      </c>
      <c r="AE38" s="8"/>
      <c r="AF38" s="8"/>
      <c r="AG38" s="8"/>
      <c r="AH38" s="8"/>
      <c r="AI38" s="8"/>
      <c r="AJ38" s="6"/>
      <c r="AK38" s="7" t="str">
        <f t="shared" si="5"/>
        <v>/personnel/jeralyn-gerra.jpg</v>
      </c>
      <c r="AL38" s="8" t="s">
        <v>9</v>
      </c>
    </row>
    <row r="39" spans="1:38">
      <c r="A39" s="7">
        <v>35</v>
      </c>
      <c r="B39" s="7" t="s">
        <v>170</v>
      </c>
      <c r="C39" s="7" t="s">
        <v>169</v>
      </c>
      <c r="D39" s="7" t="s">
        <v>94</v>
      </c>
      <c r="E39" s="7" t="str">
        <f t="shared" si="3"/>
        <v>D.</v>
      </c>
      <c r="F39" s="7"/>
      <c r="G39" s="7" t="str">
        <f t="shared" si="4"/>
        <v>Genesa D. Goc-ong</v>
      </c>
      <c r="H39" s="7" t="s">
        <v>240</v>
      </c>
      <c r="I39" s="6" t="s">
        <v>276</v>
      </c>
      <c r="J39" s="6" t="s">
        <v>352</v>
      </c>
      <c r="K39" s="6" t="s">
        <v>400</v>
      </c>
      <c r="L39" s="7"/>
      <c r="M39" s="7"/>
      <c r="N39" s="7"/>
      <c r="O39" s="7"/>
      <c r="P39" s="8" t="s">
        <v>13</v>
      </c>
      <c r="Q39" s="7" t="s">
        <v>16</v>
      </c>
      <c r="R39" s="8" t="s">
        <v>341</v>
      </c>
      <c r="S39" s="8"/>
      <c r="T39" s="8"/>
      <c r="U39" s="8"/>
      <c r="V39" s="8"/>
      <c r="W39" s="8"/>
      <c r="X39" s="8"/>
      <c r="Y39" s="8"/>
      <c r="Z39" s="8"/>
      <c r="AA39" s="8"/>
      <c r="AB39" s="8"/>
      <c r="AC39" s="8"/>
      <c r="AD39" s="8" t="s">
        <v>276</v>
      </c>
      <c r="AE39" s="8"/>
      <c r="AF39" s="8"/>
      <c r="AG39" s="8"/>
      <c r="AH39" s="8"/>
      <c r="AI39" s="8"/>
      <c r="AJ39" s="6"/>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368</v>
      </c>
      <c r="J40" s="6"/>
      <c r="K40" s="6"/>
      <c r="L40" s="7"/>
      <c r="M40" s="7"/>
      <c r="N40" s="7"/>
      <c r="O40" s="7"/>
      <c r="P40" s="8" t="s">
        <v>13</v>
      </c>
      <c r="Q40" s="7" t="s">
        <v>16</v>
      </c>
      <c r="R40" s="8" t="s">
        <v>338</v>
      </c>
      <c r="S40" s="8"/>
      <c r="T40" s="8"/>
      <c r="U40" s="8"/>
      <c r="V40" s="8"/>
      <c r="W40" s="8"/>
      <c r="X40" s="8"/>
      <c r="Y40" s="8"/>
      <c r="Z40" s="8"/>
      <c r="AA40" s="8"/>
      <c r="AB40" s="8"/>
      <c r="AC40" s="8"/>
      <c r="AD40" s="8" t="s">
        <v>368</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401</v>
      </c>
      <c r="L41" s="7"/>
      <c r="M41" s="7"/>
      <c r="N41" s="7"/>
      <c r="O41" s="7"/>
      <c r="P41" s="8" t="s">
        <v>13</v>
      </c>
      <c r="Q41" s="7" t="s">
        <v>16</v>
      </c>
      <c r="R41" s="8" t="s">
        <v>333</v>
      </c>
      <c r="S41" s="8" t="s">
        <v>333</v>
      </c>
      <c r="T41" s="8"/>
      <c r="U41" s="8"/>
      <c r="V41" s="8"/>
      <c r="W41" s="8"/>
      <c r="X41" s="8"/>
      <c r="Y41" s="8"/>
      <c r="Z41" s="8"/>
      <c r="AA41" s="8"/>
      <c r="AB41" s="8"/>
      <c r="AC41" s="8"/>
      <c r="AD41" s="8" t="s">
        <v>276</v>
      </c>
      <c r="AE41" s="8"/>
      <c r="AF41" s="8"/>
      <c r="AG41" s="8"/>
      <c r="AH41" s="8"/>
      <c r="AI41" s="8"/>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402</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c r="AJ42" s="6" t="s">
        <v>490</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12</v>
      </c>
      <c r="I43" s="6" t="s">
        <v>368</v>
      </c>
      <c r="J43" s="6"/>
      <c r="K43" s="6"/>
      <c r="L43" s="7"/>
      <c r="M43" s="7"/>
      <c r="N43" s="7"/>
      <c r="O43" s="7"/>
      <c r="P43" s="8" t="s">
        <v>13</v>
      </c>
      <c r="Q43" s="7" t="s">
        <v>16</v>
      </c>
      <c r="R43" s="8"/>
      <c r="S43" s="8"/>
      <c r="T43" s="8"/>
      <c r="U43" s="8"/>
      <c r="V43" s="8"/>
      <c r="W43" s="8"/>
      <c r="X43" s="8"/>
      <c r="Y43" s="8"/>
      <c r="Z43" s="8"/>
      <c r="AA43" s="8"/>
      <c r="AB43" s="8"/>
      <c r="AC43" s="8"/>
      <c r="AD43" s="8" t="s">
        <v>368</v>
      </c>
      <c r="AE43" s="8"/>
      <c r="AF43" s="8"/>
      <c r="AG43" s="8"/>
      <c r="AH43" s="8"/>
      <c r="AI43" s="8"/>
      <c r="AJ43" s="6"/>
      <c r="AK43" s="7" t="str">
        <f t="shared" si="5"/>
        <v>/personnel/fernando-laspiñas.jpg</v>
      </c>
      <c r="AL43" s="8" t="s">
        <v>9</v>
      </c>
    </row>
    <row r="44" spans="1:38">
      <c r="A44" s="7">
        <v>40</v>
      </c>
      <c r="B44" s="7" t="s">
        <v>154</v>
      </c>
      <c r="C44" s="7" t="s">
        <v>183</v>
      </c>
      <c r="D44" s="7" t="s">
        <v>98</v>
      </c>
      <c r="E44" s="7" t="str">
        <f t="shared" si="3"/>
        <v>B.</v>
      </c>
      <c r="F44" s="7"/>
      <c r="G44" s="7" t="str">
        <f t="shared" si="4"/>
        <v>Nerisa B. Lim</v>
      </c>
      <c r="H44" s="7" t="s">
        <v>12</v>
      </c>
      <c r="I44" s="6" t="s">
        <v>368</v>
      </c>
      <c r="J44" s="6"/>
      <c r="K44" s="6"/>
      <c r="L44" s="7"/>
      <c r="M44" s="7"/>
      <c r="N44" s="7"/>
      <c r="O44" s="7"/>
      <c r="P44" s="8" t="s">
        <v>13</v>
      </c>
      <c r="Q44" s="7" t="s">
        <v>16</v>
      </c>
      <c r="R44" s="8" t="s">
        <v>338</v>
      </c>
      <c r="S44" s="8" t="s">
        <v>338</v>
      </c>
      <c r="T44" s="8"/>
      <c r="U44" s="8"/>
      <c r="V44" s="8"/>
      <c r="W44" s="8"/>
      <c r="X44" s="8"/>
      <c r="Y44" s="8"/>
      <c r="Z44" s="8"/>
      <c r="AA44" s="8"/>
      <c r="AB44" s="8"/>
      <c r="AC44" s="8"/>
      <c r="AD44" s="8" t="s">
        <v>368</v>
      </c>
      <c r="AE44" s="8"/>
      <c r="AF44" s="8"/>
      <c r="AG44" s="8"/>
      <c r="AH44" s="8"/>
      <c r="AI44" s="8"/>
      <c r="AJ44" s="6"/>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6" t="s">
        <v>368</v>
      </c>
      <c r="J45" s="6"/>
      <c r="K45" s="6"/>
      <c r="L45" s="7"/>
      <c r="M45" s="7"/>
      <c r="N45" s="7"/>
      <c r="O45" s="7"/>
      <c r="P45" s="8" t="s">
        <v>13</v>
      </c>
      <c r="Q45" s="7" t="s">
        <v>16</v>
      </c>
      <c r="R45" s="8"/>
      <c r="S45" s="8"/>
      <c r="T45" s="8"/>
      <c r="U45" s="8"/>
      <c r="V45" s="8"/>
      <c r="W45" s="8"/>
      <c r="X45" s="8"/>
      <c r="Y45" s="8"/>
      <c r="Z45" s="8"/>
      <c r="AA45" s="8"/>
      <c r="AB45" s="8"/>
      <c r="AC45" s="8"/>
      <c r="AD45" s="8" t="s">
        <v>368</v>
      </c>
      <c r="AE45" s="8"/>
      <c r="AF45" s="8"/>
      <c r="AG45" s="8"/>
      <c r="AH45" s="8"/>
      <c r="AI45" s="8"/>
      <c r="AJ45" s="6" t="s">
        <v>501</v>
      </c>
      <c r="AK45" s="7" t="str">
        <f t="shared" si="5"/>
        <v>/personnel/carl-loreto.jpg</v>
      </c>
      <c r="AL45" s="8" t="s">
        <v>9</v>
      </c>
    </row>
    <row r="46" spans="1:38">
      <c r="A46" s="7">
        <v>42</v>
      </c>
      <c r="B46" s="7" t="s">
        <v>156</v>
      </c>
      <c r="C46" s="7" t="s">
        <v>185</v>
      </c>
      <c r="D46" s="7" t="s">
        <v>99</v>
      </c>
      <c r="E46" s="7" t="str">
        <f t="shared" si="3"/>
        <v>M.</v>
      </c>
      <c r="F46" s="7"/>
      <c r="G46" s="7" t="str">
        <f t="shared" si="4"/>
        <v>Lyka M. Mabanag</v>
      </c>
      <c r="H46" s="7" t="s">
        <v>269</v>
      </c>
      <c r="I46" s="6" t="s">
        <v>483</v>
      </c>
      <c r="J46" s="6"/>
      <c r="K46" s="6"/>
      <c r="L46" s="7"/>
      <c r="M46" s="7"/>
      <c r="N46" s="7"/>
      <c r="O46" s="7"/>
      <c r="P46" s="8" t="s">
        <v>13</v>
      </c>
      <c r="Q46" s="7" t="s">
        <v>14</v>
      </c>
      <c r="R46" s="8"/>
      <c r="S46" s="8"/>
      <c r="T46" s="8"/>
      <c r="U46" s="8"/>
      <c r="V46" s="8"/>
      <c r="W46" s="8"/>
      <c r="X46" s="8"/>
      <c r="Y46" s="8"/>
      <c r="Z46" s="8"/>
      <c r="AA46" s="8"/>
      <c r="AB46" s="8"/>
      <c r="AC46" s="8"/>
      <c r="AD46" s="8" t="s">
        <v>364</v>
      </c>
      <c r="AE46" s="8"/>
      <c r="AF46" s="8"/>
      <c r="AG46" s="8"/>
      <c r="AH46" s="8"/>
      <c r="AI46" s="8"/>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378</v>
      </c>
      <c r="J47" s="6"/>
      <c r="K47" s="6"/>
      <c r="L47" s="7" t="s">
        <v>332</v>
      </c>
      <c r="M47" s="7"/>
      <c r="N47" s="7"/>
      <c r="O47" s="7" t="s">
        <v>331</v>
      </c>
      <c r="P47" s="8" t="s">
        <v>13</v>
      </c>
      <c r="Q47" s="7" t="s">
        <v>14</v>
      </c>
      <c r="R47" s="8" t="s">
        <v>434</v>
      </c>
      <c r="S47" s="8" t="s">
        <v>465</v>
      </c>
      <c r="T47" s="8"/>
      <c r="U47" s="8"/>
      <c r="V47" s="8"/>
      <c r="W47" s="8"/>
      <c r="X47" s="8" t="s">
        <v>478</v>
      </c>
      <c r="Y47" s="8"/>
      <c r="Z47" s="8"/>
      <c r="AA47" s="8"/>
      <c r="AB47" s="8"/>
      <c r="AC47" s="8"/>
      <c r="AD47" s="8" t="s">
        <v>364</v>
      </c>
      <c r="AE47" s="8"/>
      <c r="AF47" s="8"/>
      <c r="AG47" s="8"/>
      <c r="AH47" s="8"/>
      <c r="AI47" s="8"/>
      <c r="AJ47" s="6" t="s">
        <v>506</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368</v>
      </c>
      <c r="J48" s="6"/>
      <c r="K48" s="6"/>
      <c r="L48" s="7"/>
      <c r="M48" s="7"/>
      <c r="N48" s="7"/>
      <c r="O48" s="7"/>
      <c r="P48" s="8" t="s">
        <v>13</v>
      </c>
      <c r="Q48" s="7" t="s">
        <v>16</v>
      </c>
      <c r="R48" s="8" t="s">
        <v>341</v>
      </c>
      <c r="S48" s="8"/>
      <c r="T48" s="8"/>
      <c r="U48" s="8"/>
      <c r="V48" s="8"/>
      <c r="W48" s="8"/>
      <c r="X48" s="8"/>
      <c r="Y48" s="8"/>
      <c r="Z48" s="8"/>
      <c r="AA48" s="8"/>
      <c r="AB48" s="8"/>
      <c r="AC48" s="8"/>
      <c r="AD48" s="8" t="s">
        <v>368</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403</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373</v>
      </c>
      <c r="C50" s="7" t="s">
        <v>374</v>
      </c>
      <c r="D50" s="7" t="s">
        <v>197</v>
      </c>
      <c r="E50" s="7" t="str">
        <f t="shared" si="3"/>
        <v>B.</v>
      </c>
      <c r="F50" s="7"/>
      <c r="G50" s="7" t="str">
        <f t="shared" si="4"/>
        <v>Luis B. Mans</v>
      </c>
      <c r="H50" s="7" t="s">
        <v>266</v>
      </c>
      <c r="I50" s="6" t="s">
        <v>472</v>
      </c>
      <c r="J50" s="6"/>
      <c r="K50" s="6"/>
      <c r="L50" s="7"/>
      <c r="M50" s="7"/>
      <c r="N50" s="7"/>
      <c r="O50" s="7"/>
      <c r="P50" s="8" t="s">
        <v>239</v>
      </c>
      <c r="Q50" s="7" t="s">
        <v>370</v>
      </c>
      <c r="R50" s="8" t="s">
        <v>382</v>
      </c>
      <c r="S50" s="8" t="s">
        <v>382</v>
      </c>
      <c r="T50" s="8"/>
      <c r="U50" s="8"/>
      <c r="V50" s="8"/>
      <c r="W50" s="8"/>
      <c r="X50" s="8"/>
      <c r="Y50" s="8"/>
      <c r="Z50" s="8"/>
      <c r="AA50" s="8"/>
      <c r="AB50" s="8"/>
      <c r="AC50" s="8"/>
      <c r="AD50" s="8" t="s">
        <v>369</v>
      </c>
      <c r="AE50" s="8"/>
      <c r="AF50" s="8"/>
      <c r="AG50" s="8"/>
      <c r="AH50" s="8"/>
      <c r="AI50" s="8"/>
      <c r="AJ50" s="6"/>
      <c r="AK50" s="7" t="str">
        <f t="shared" si="5"/>
        <v>/personnel/luis-mans.jpg</v>
      </c>
      <c r="AL50" s="8" t="s">
        <v>9</v>
      </c>
    </row>
    <row r="51" spans="1:38">
      <c r="A51" s="7">
        <v>48</v>
      </c>
      <c r="B51" s="7" t="s">
        <v>161</v>
      </c>
      <c r="C51" s="7" t="s">
        <v>196</v>
      </c>
      <c r="D51" s="7" t="s">
        <v>197</v>
      </c>
      <c r="E51" s="7" t="str">
        <f t="shared" si="3"/>
        <v>B.</v>
      </c>
      <c r="F51" s="7"/>
      <c r="G51" s="7" t="str">
        <f t="shared" si="4"/>
        <v>Claire B. Medillo</v>
      </c>
      <c r="H51" s="7" t="s">
        <v>12</v>
      </c>
      <c r="I51" s="6" t="s">
        <v>368</v>
      </c>
      <c r="J51" s="6"/>
      <c r="K51" s="6"/>
      <c r="L51" s="7"/>
      <c r="M51" s="7"/>
      <c r="N51" s="7"/>
      <c r="O51" s="7"/>
      <c r="P51" s="8" t="s">
        <v>13</v>
      </c>
      <c r="Q51" s="7" t="s">
        <v>16</v>
      </c>
      <c r="R51" s="8"/>
      <c r="S51" s="8"/>
      <c r="T51" s="8"/>
      <c r="U51" s="8"/>
      <c r="V51" s="8"/>
      <c r="W51" s="8"/>
      <c r="X51" s="8"/>
      <c r="Y51" s="8"/>
      <c r="Z51" s="8"/>
      <c r="AA51" s="8"/>
      <c r="AB51" s="8"/>
      <c r="AC51" s="8"/>
      <c r="AD51" s="8" t="s">
        <v>368</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404</v>
      </c>
      <c r="L52" s="7"/>
      <c r="M52" s="7"/>
      <c r="N52" s="7"/>
      <c r="O52" s="7"/>
      <c r="P52" s="8" t="s">
        <v>13</v>
      </c>
      <c r="Q52" s="7" t="s">
        <v>16</v>
      </c>
      <c r="R52" s="8" t="s">
        <v>342</v>
      </c>
      <c r="S52" s="8" t="s">
        <v>342</v>
      </c>
      <c r="T52" s="8"/>
      <c r="U52" s="8"/>
      <c r="V52" s="8"/>
      <c r="W52" s="8"/>
      <c r="X52" s="8"/>
      <c r="Y52" s="8"/>
      <c r="Z52" s="8"/>
      <c r="AA52" s="8"/>
      <c r="AB52" s="8"/>
      <c r="AC52" s="8"/>
      <c r="AD52" s="8" t="s">
        <v>368</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405</v>
      </c>
      <c r="L53" s="7"/>
      <c r="M53" s="7"/>
      <c r="N53" s="7"/>
      <c r="O53" s="7"/>
      <c r="P53" s="8" t="s">
        <v>13</v>
      </c>
      <c r="Q53" s="7" t="s">
        <v>16</v>
      </c>
      <c r="R53" s="8" t="s">
        <v>339</v>
      </c>
      <c r="S53" s="8" t="s">
        <v>339</v>
      </c>
      <c r="T53" s="8"/>
      <c r="U53" s="8"/>
      <c r="V53" s="8"/>
      <c r="W53" s="8"/>
      <c r="X53" s="8" t="s">
        <v>476</v>
      </c>
      <c r="Y53" s="8"/>
      <c r="Z53" s="8"/>
      <c r="AA53" s="8"/>
      <c r="AB53" s="8"/>
      <c r="AC53" s="8" t="s">
        <v>16</v>
      </c>
      <c r="AD53" s="8" t="s">
        <v>276</v>
      </c>
      <c r="AE53" s="8"/>
      <c r="AF53" s="8"/>
      <c r="AG53" s="8"/>
      <c r="AH53" s="8"/>
      <c r="AI53" s="8" t="s">
        <v>474</v>
      </c>
      <c r="AJ53" s="6" t="s">
        <v>500</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406</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407</v>
      </c>
      <c r="L55" s="7"/>
      <c r="M55" s="7"/>
      <c r="N55" s="7"/>
      <c r="O55" s="7"/>
      <c r="P55" s="8" t="s">
        <v>13</v>
      </c>
      <c r="Q55" s="7" t="s">
        <v>16</v>
      </c>
      <c r="R55" s="8"/>
      <c r="S55" s="8"/>
      <c r="T55" s="8"/>
      <c r="U55" s="8"/>
      <c r="V55" s="8"/>
      <c r="W55" s="8"/>
      <c r="X55" s="8"/>
      <c r="Y55" s="8"/>
      <c r="Z55" s="8"/>
      <c r="AA55" s="8"/>
      <c r="AB55" s="8"/>
      <c r="AC55" s="8"/>
      <c r="AD55" s="8" t="s">
        <v>276</v>
      </c>
      <c r="AE55" s="8"/>
      <c r="AF55" s="8"/>
      <c r="AG55" s="8"/>
      <c r="AH55" s="8"/>
      <c r="AI55" s="8"/>
      <c r="AJ55" s="6" t="s">
        <v>502</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416</v>
      </c>
      <c r="L56" s="7"/>
      <c r="M56" s="7"/>
      <c r="N56" s="7"/>
      <c r="O56" s="7"/>
      <c r="P56" s="8" t="s">
        <v>13</v>
      </c>
      <c r="Q56" s="7" t="s">
        <v>14</v>
      </c>
      <c r="R56" s="8" t="s">
        <v>434</v>
      </c>
      <c r="S56" s="8" t="s">
        <v>465</v>
      </c>
      <c r="T56" s="8"/>
      <c r="U56" s="8"/>
      <c r="V56" s="8"/>
      <c r="W56" s="8"/>
      <c r="X56" s="8" t="s">
        <v>511</v>
      </c>
      <c r="Y56" s="8"/>
      <c r="Z56" s="8"/>
      <c r="AA56" s="8"/>
      <c r="AB56" s="8"/>
      <c r="AC56" s="8"/>
      <c r="AD56" s="8" t="s">
        <v>276</v>
      </c>
      <c r="AE56" s="8"/>
      <c r="AF56" s="8"/>
      <c r="AG56" s="8"/>
      <c r="AH56" s="8"/>
      <c r="AI56" s="8" t="s">
        <v>512</v>
      </c>
      <c r="AJ56" s="6" t="s">
        <v>513</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413</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368</v>
      </c>
      <c r="J58" s="6"/>
      <c r="K58" s="6"/>
      <c r="L58" s="7"/>
      <c r="M58" s="7"/>
      <c r="N58" s="7"/>
      <c r="O58" s="7"/>
      <c r="P58" s="8" t="s">
        <v>13</v>
      </c>
      <c r="Q58" s="7" t="s">
        <v>16</v>
      </c>
      <c r="R58" s="8" t="s">
        <v>383</v>
      </c>
      <c r="S58" s="8"/>
      <c r="T58" s="8"/>
      <c r="U58" s="8"/>
      <c r="V58" s="8"/>
      <c r="W58" s="8"/>
      <c r="X58" s="8"/>
      <c r="Y58" s="8"/>
      <c r="Z58" s="8"/>
      <c r="AA58" s="8"/>
      <c r="AB58" s="8"/>
      <c r="AC58" s="8"/>
      <c r="AD58" s="8" t="s">
        <v>368</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408</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c r="A60" s="7">
        <v>55</v>
      </c>
      <c r="B60" s="7" t="s">
        <v>177</v>
      </c>
      <c r="C60" s="7" t="s">
        <v>209</v>
      </c>
      <c r="D60" s="7" t="s">
        <v>210</v>
      </c>
      <c r="E60" s="7" t="str">
        <f t="shared" si="3"/>
        <v>N.</v>
      </c>
      <c r="F60" s="7"/>
      <c r="G60" s="7" t="str">
        <f t="shared" si="4"/>
        <v>Jhea N. Quiling</v>
      </c>
      <c r="H60" s="7" t="s">
        <v>15</v>
      </c>
      <c r="I60" s="6" t="s">
        <v>368</v>
      </c>
      <c r="J60" s="6"/>
      <c r="K60" s="6"/>
      <c r="L60" s="7"/>
      <c r="M60" s="7"/>
      <c r="N60" s="7"/>
      <c r="O60" s="7"/>
      <c r="P60" s="8" t="s">
        <v>13</v>
      </c>
      <c r="Q60" s="7" t="s">
        <v>16</v>
      </c>
      <c r="R60" s="8" t="s">
        <v>333</v>
      </c>
      <c r="S60" s="8" t="s">
        <v>333</v>
      </c>
      <c r="T60" s="8"/>
      <c r="U60" s="8"/>
      <c r="V60" s="8"/>
      <c r="W60" s="8"/>
      <c r="X60" s="8"/>
      <c r="Y60" s="8"/>
      <c r="Z60" s="8"/>
      <c r="AA60" s="8"/>
      <c r="AB60" s="8"/>
      <c r="AC60" s="8"/>
      <c r="AD60" s="8" t="s">
        <v>368</v>
      </c>
      <c r="AE60" s="8"/>
      <c r="AF60" s="8"/>
      <c r="AG60" s="8"/>
      <c r="AH60" s="8"/>
      <c r="AI60" s="8"/>
      <c r="AJ60" s="6"/>
      <c r="AK60" s="7" t="str">
        <f t="shared" si="5"/>
        <v>/personnel/jhea-quiling.jpg</v>
      </c>
      <c r="AL60" s="8" t="s">
        <v>9</v>
      </c>
    </row>
    <row r="61" spans="1:38">
      <c r="A61" s="7">
        <v>56</v>
      </c>
      <c r="B61" s="7" t="s">
        <v>178</v>
      </c>
      <c r="C61" s="7" t="s">
        <v>211</v>
      </c>
      <c r="D61" s="7" t="s">
        <v>212</v>
      </c>
      <c r="E61" s="7" t="str">
        <f t="shared" si="3"/>
        <v>C.</v>
      </c>
      <c r="F61" s="7"/>
      <c r="G61" s="7" t="str">
        <f t="shared" si="4"/>
        <v>Joyce C. Racaza</v>
      </c>
      <c r="H61" s="7" t="s">
        <v>12</v>
      </c>
      <c r="I61" s="6" t="s">
        <v>368</v>
      </c>
      <c r="J61" s="6"/>
      <c r="K61" s="6"/>
      <c r="L61" s="7"/>
      <c r="M61" s="7"/>
      <c r="N61" s="7"/>
      <c r="O61" s="7"/>
      <c r="P61" s="8" t="s">
        <v>13</v>
      </c>
      <c r="Q61" s="7" t="s">
        <v>16</v>
      </c>
      <c r="R61" s="8" t="s">
        <v>341</v>
      </c>
      <c r="S61" s="8" t="s">
        <v>341</v>
      </c>
      <c r="T61" s="8"/>
      <c r="U61" s="8"/>
      <c r="V61" s="8"/>
      <c r="W61" s="8"/>
      <c r="X61" s="8"/>
      <c r="Y61" s="8"/>
      <c r="Z61" s="8"/>
      <c r="AA61" s="8"/>
      <c r="AB61" s="8"/>
      <c r="AC61" s="8"/>
      <c r="AD61" s="8" t="s">
        <v>368</v>
      </c>
      <c r="AE61" s="8"/>
      <c r="AF61" s="8"/>
      <c r="AG61" s="8"/>
      <c r="AH61" s="8"/>
      <c r="AI61" s="8"/>
      <c r="AJ61" s="6"/>
      <c r="AK61" s="7" t="str">
        <f t="shared" si="5"/>
        <v>/personnel/joyce-racaza.jpg</v>
      </c>
      <c r="AL61" s="8" t="s">
        <v>9</v>
      </c>
    </row>
    <row r="62" spans="1:38">
      <c r="A62" s="7">
        <v>57</v>
      </c>
      <c r="B62" s="7" t="s">
        <v>179</v>
      </c>
      <c r="C62" s="7" t="s">
        <v>213</v>
      </c>
      <c r="D62" s="7" t="s">
        <v>214</v>
      </c>
      <c r="E62" s="7" t="str">
        <f t="shared" si="3"/>
        <v>P.</v>
      </c>
      <c r="F62" s="7"/>
      <c r="G62" s="7" t="str">
        <f t="shared" si="4"/>
        <v>Cromwell P. Retuya</v>
      </c>
      <c r="H62" s="7" t="s">
        <v>12</v>
      </c>
      <c r="I62" s="6" t="s">
        <v>368</v>
      </c>
      <c r="J62" s="6"/>
      <c r="K62" s="6"/>
      <c r="L62" s="7"/>
      <c r="M62" s="7"/>
      <c r="N62" s="7"/>
      <c r="O62" s="7"/>
      <c r="P62" s="8" t="s">
        <v>13</v>
      </c>
      <c r="Q62" s="7" t="s">
        <v>16</v>
      </c>
      <c r="R62" s="8" t="s">
        <v>466</v>
      </c>
      <c r="S62" s="8" t="s">
        <v>466</v>
      </c>
      <c r="T62" s="8"/>
      <c r="U62" s="8"/>
      <c r="V62" s="8"/>
      <c r="W62" s="8"/>
      <c r="X62" s="8"/>
      <c r="Y62" s="8"/>
      <c r="Z62" s="8"/>
      <c r="AA62" s="8"/>
      <c r="AB62" s="8"/>
      <c r="AC62" s="8"/>
      <c r="AD62" s="8" t="s">
        <v>368</v>
      </c>
      <c r="AE62" s="8"/>
      <c r="AF62" s="8"/>
      <c r="AG62" s="8"/>
      <c r="AH62" s="8"/>
      <c r="AI62" s="8"/>
      <c r="AJ62" s="6"/>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510</v>
      </c>
      <c r="J63" s="6"/>
      <c r="K63" s="6"/>
      <c r="L63" s="7"/>
      <c r="M63" s="7"/>
      <c r="N63" s="7"/>
      <c r="O63" s="7"/>
      <c r="P63" s="8" t="s">
        <v>13</v>
      </c>
      <c r="Q63" s="7" t="s">
        <v>16</v>
      </c>
      <c r="R63" s="8" t="s">
        <v>339</v>
      </c>
      <c r="S63" s="8" t="s">
        <v>339</v>
      </c>
      <c r="T63" s="8"/>
      <c r="U63" s="8"/>
      <c r="V63" s="8"/>
      <c r="W63" s="8"/>
      <c r="X63" s="8"/>
      <c r="Y63" s="8"/>
      <c r="Z63" s="8"/>
      <c r="AA63" s="8"/>
      <c r="AB63" s="8"/>
      <c r="AC63" s="8"/>
      <c r="AD63" s="8" t="s">
        <v>366</v>
      </c>
      <c r="AE63" s="8"/>
      <c r="AF63" s="8"/>
      <c r="AG63" s="8">
        <v>5</v>
      </c>
      <c r="AH63" s="8"/>
      <c r="AI63" s="8"/>
      <c r="AJ63" s="6" t="s">
        <v>503</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409</v>
      </c>
      <c r="L64" s="7"/>
      <c r="M64" s="7"/>
      <c r="N64" s="7"/>
      <c r="O64" s="7"/>
      <c r="P64" s="8" t="s">
        <v>13</v>
      </c>
      <c r="Q64" s="7" t="s">
        <v>16</v>
      </c>
      <c r="R64" s="8"/>
      <c r="S64" s="8"/>
      <c r="T64" s="8"/>
      <c r="U64" s="8"/>
      <c r="V64" s="8"/>
      <c r="W64" s="8"/>
      <c r="X64" s="8"/>
      <c r="Y64" s="8"/>
      <c r="Z64" s="8"/>
      <c r="AA64" s="8"/>
      <c r="AB64" s="8"/>
      <c r="AC64" s="8"/>
      <c r="AD64" s="8" t="s">
        <v>276</v>
      </c>
      <c r="AE64" s="8"/>
      <c r="AF64" s="8"/>
      <c r="AG64" s="8"/>
      <c r="AH64" s="8"/>
      <c r="AI64" s="8"/>
      <c r="AJ64" s="6" t="s">
        <v>504</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385</v>
      </c>
      <c r="J65" s="6"/>
      <c r="K65" s="6"/>
      <c r="L65" s="7"/>
      <c r="M65" s="7"/>
      <c r="N65" s="7"/>
      <c r="O65" s="7"/>
      <c r="P65" s="8" t="s">
        <v>13</v>
      </c>
      <c r="Q65" s="7" t="s">
        <v>16</v>
      </c>
      <c r="R65" s="8" t="s">
        <v>338</v>
      </c>
      <c r="S65" s="8" t="s">
        <v>338</v>
      </c>
      <c r="T65" s="8" t="s">
        <v>434</v>
      </c>
      <c r="U65" s="8"/>
      <c r="V65" s="8"/>
      <c r="W65" s="8"/>
      <c r="X65" s="8" t="s">
        <v>479</v>
      </c>
      <c r="Y65" s="8"/>
      <c r="Z65" s="8"/>
      <c r="AA65" s="8"/>
      <c r="AB65" s="8"/>
      <c r="AC65" s="8"/>
      <c r="AD65" s="8" t="s">
        <v>364</v>
      </c>
      <c r="AE65" s="8"/>
      <c r="AF65" s="8"/>
      <c r="AG65" s="8"/>
      <c r="AH65" s="8"/>
      <c r="AI65" s="8"/>
      <c r="AJ65" s="6"/>
      <c r="AK65" s="7" t="str">
        <f t="shared" si="5"/>
        <v>/personnel/brendel-sacaris.jpg</v>
      </c>
      <c r="AL65" s="8" t="s">
        <v>9</v>
      </c>
    </row>
    <row r="66" spans="1:38" ht="33.6">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410</v>
      </c>
      <c r="L66" s="7"/>
      <c r="M66" s="7"/>
      <c r="N66" s="7"/>
      <c r="O66" s="7"/>
      <c r="P66" s="8" t="s">
        <v>13</v>
      </c>
      <c r="Q66" s="7" t="s">
        <v>16</v>
      </c>
      <c r="R66" s="8" t="s">
        <v>466</v>
      </c>
      <c r="S66" s="8" t="s">
        <v>466</v>
      </c>
      <c r="T66" s="8"/>
      <c r="U66" s="8"/>
      <c r="V66" s="8"/>
      <c r="W66" s="8"/>
      <c r="X66" s="8"/>
      <c r="Y66" s="8"/>
      <c r="Z66" s="8"/>
      <c r="AA66" s="8"/>
      <c r="AB66" s="8"/>
      <c r="AC66" s="8"/>
      <c r="AD66" s="8" t="s">
        <v>276</v>
      </c>
      <c r="AE66" s="8"/>
      <c r="AF66" s="8"/>
      <c r="AG66" s="8"/>
      <c r="AH66" s="8"/>
      <c r="AI66" s="8"/>
      <c r="AJ66" s="6"/>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417</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379</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c r="AJ68" s="6" t="s">
        <v>505</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382</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c r="A70" s="7">
        <v>65</v>
      </c>
      <c r="B70" s="7" t="s">
        <v>231</v>
      </c>
      <c r="C70" s="7" t="s">
        <v>144</v>
      </c>
      <c r="D70" s="7" t="s">
        <v>232</v>
      </c>
      <c r="E70" s="7" t="str">
        <f t="shared" si="6"/>
        <v>A.</v>
      </c>
      <c r="F70" s="7"/>
      <c r="G70" s="7" t="str">
        <f t="shared" si="7"/>
        <v>Marilou A. Villaver</v>
      </c>
      <c r="H70" s="7" t="s">
        <v>12</v>
      </c>
      <c r="I70" s="6" t="s">
        <v>368</v>
      </c>
      <c r="J70" s="6"/>
      <c r="K70" s="6"/>
      <c r="L70" s="7"/>
      <c r="M70" s="7"/>
      <c r="N70" s="7"/>
      <c r="O70" s="7"/>
      <c r="P70" s="8" t="s">
        <v>13</v>
      </c>
      <c r="Q70" s="7" t="s">
        <v>14</v>
      </c>
      <c r="R70" s="8" t="s">
        <v>338</v>
      </c>
      <c r="S70" s="8" t="s">
        <v>338</v>
      </c>
      <c r="T70" s="8"/>
      <c r="U70" s="8"/>
      <c r="V70" s="8"/>
      <c r="W70" s="8"/>
      <c r="X70" s="8"/>
      <c r="Y70" s="8"/>
      <c r="Z70" s="8"/>
      <c r="AA70" s="8"/>
      <c r="AB70" s="8"/>
      <c r="AC70" s="8"/>
      <c r="AD70" s="8" t="s">
        <v>368</v>
      </c>
      <c r="AE70" s="8"/>
      <c r="AF70" s="8"/>
      <c r="AG70" s="8"/>
      <c r="AH70" s="8"/>
      <c r="AI70" s="8"/>
      <c r="AJ70" s="6"/>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2026-06-06T16:10:06Z</dcterms:modified>
</cp:coreProperties>
</file>