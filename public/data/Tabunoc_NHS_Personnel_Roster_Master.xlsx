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8_{FB6C8804-AD6D-4FAF-9623-3DB465BD80B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2" i="1" l="1"/>
  <c r="X69" i="1"/>
  <c r="X70" i="1"/>
  <c r="X67" i="1"/>
  <c r="X68" i="1"/>
  <c r="E67" i="1"/>
  <c r="G67" i="1" s="1"/>
  <c r="E62" i="1"/>
  <c r="G62" i="1" s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3" i="1"/>
  <c r="X64" i="1"/>
  <c r="X65" i="1"/>
  <c r="X66" i="1"/>
  <c r="X2" i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<sst xmlns="http://schemas.openxmlformats.org/spreadsheetml/2006/main" count="898" uniqueCount="421">
  <si>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</si>
  <si>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</si>
  <si>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</si>
  <si>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</si>
  <si>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</si>
  <si>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</si>
  <si>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</si>
  <si>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</si>
  <si>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</si>
  <si>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</si>
  <si>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</si>
  <si>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</si>
  <si>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</si>
  <si>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</si>
  <si>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</si>
  <si>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</si>
  <si>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</si>
  <si>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</si>
  <si>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</si>
  <si>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</si>
  <si>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</si>
  <si>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</si>
  <si>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</si>
  <si>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</si>
  <si>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</si>
  <si>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</si>
  <si>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</si>
  <si>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</si>
  <si>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</si>
  <si>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</si>
  <si>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</si>
  <si>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</si>
  <si>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</si>
  <si>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</si>
  <si>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</si>
  <si>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</si>
  <si>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</si>
  <si>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</si>
  <si>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</si>
  <si>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</si>
  <si>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</si>
  <si>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</si>
  <si>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</si>
  <si>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</si>
  <si>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</si>
  <si>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</si>
  <si>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</si>
  <si>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</si>
  <si>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</si>
  <si>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</si>
  <si>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</si>
  <si>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</si>
  <si>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</si>
  <si>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</si>
  <si>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</si>
  <si>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</si>
  <si>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</si>
  <si>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</si>
  <si>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</si>
  <si>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</si>
  <si>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</si>
  <si>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</si>
  <si>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</si>
  <si>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</si>
  <si>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</si>
  <si>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</si>
  <si>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</si>
  <si>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</si>
  <si>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</si>
  <si>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</si>
  <si>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</si>
  <si>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</si>
  <si>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</si>
  <si>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</si>
  <si>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</si>
  <si>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</si>
  <si>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</si>
  <si>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</si>
  <si>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</si>
  <si>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</si>
  <si>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</si>
  <si>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</si>
  <si>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</si>
  <si>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</si>
  <si>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</si>
  <si>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</si>
  <si>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</si>
  <si>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</si>
  <si>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</si>
  <si>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</si>
  <si>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</si>
  <si>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</si>
  <si>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</si>
  <si>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</si>
  <si>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</si>
  <si>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</si>
  <si>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</si>
  <si>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</si>
  <si>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</si>
  <si>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</si>
  <si>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</si>
  <si>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</si>
  <si>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</si>
  <si>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</si>
  <si>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</si>
  <si>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</si>
  <si>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</si>
  <si>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</si>
  <si>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</si>
  <si>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</si>
  <si>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</si>
  <si>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</si>
  <si>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</si>
  <si>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</si>
  <si>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</si>
  <si>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</si>
  <si>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</si>
  <si>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</si>
  <si>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</si>
  <si>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</si>
  <si>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</si>
  <si>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</si>
  <si>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</si>
  <si>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</si>
  <si>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</si>
  <si>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</si>
  <si>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</si>
  <si>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</si>
  <si>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</si>
  <si>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</si>
  <si>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</si>
  <si>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</si>
  <si>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</si>
  <si>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</si>
  <si>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</si>
  <si>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</si>
  <si>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</si>
  <si>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</si>
  <si>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</si>
  <si>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</si>
  <si>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</si>
  <si>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</si>
  <si>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</si>
  <si>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</si>
  <si>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</si>
  <si>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</si>
  <si>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</si>
  <si>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</si>
  <si>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</si>
  <si>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</si>
  <si>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</si>
  <si>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</si>
  <si>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</si>
  <si>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</si>
  <si>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</si>
  <si>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</si>
  <si>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</si>
  <si>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</si>
  <si>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</si>
  <si>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</si>
  <si>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</si>
  <si>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</si>
  <si>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</si>
  <si>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</si>
  <si>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</si>
  <si>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</si>
  <si>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</si>
  <si>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</si>
  <si>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</si>
  <si>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</si>
  <si>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</si>
  <si>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</si>
  <si>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</si>
  <si>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</si>
  <si>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</si>
  <si>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</si>
  <si>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</si>
  <si>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</si>
  <si>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</si>
  <si>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</si>
  <si>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</si>
  <si>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</si>
  <si>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</si>
  <si>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</si>
  <si>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</si>
  <si>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</si>
  <si>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</si>
  <si>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</si>
  <si>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</si>
  <si>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</si>
  <si>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</si>
  <si>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</si>
  <si>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</si>
  <si>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</si>
  <si>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</si>
  <si>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</si>
  <si>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</si>
  <si>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</si>
  <si>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</si>
  <si>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</si>
  <si>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</si>
  <si>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</si>
  <si>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</si>
  <si>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</si>
  <si>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</si>
  <si>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</si>
  <si>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</si>
  <si>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</si>
  <si>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</si>
  <si>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</si>
  <si>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</si>
  <si>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</si>
  <si>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</si>
  <si>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</si>
  <si>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</si>
  <si>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</si>
  <si>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</si>
  <si>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</si>
  <si>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</si>
  <si>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</si>
  <si>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</si>
  <si>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</si>
  <si>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</si>
  <si>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</si>
  <si>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</si>
  <si>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</si>
  <si>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</si>
  <si>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</si>
  <si>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</si>
  <si>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</si>
  <si>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</si>
  <si>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</si>
  <si>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</si>
  <si>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</si>
  <si>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</si>
  <si>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</si>
  <si>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</si>
  <si>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</si>
  <si>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</si>
  <si>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</si>
  <si>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</si>
  <si>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</si>
  <si>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</si>
  <si>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</si>
  <si>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</si>
  <si>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</si>
  <si>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</si>
  <si>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</si>
  <si>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</si>
  <si>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</si>
  <si>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</si>
  <si>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</si>
  <si>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</si>
  <si>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</si>
  <si>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</si>
  <si>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</si>
  <si>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</si>
  <si>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</si>
  <si>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</si>
  <si>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</si>
  <si>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</si>
  <si>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</si>
  <si>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</si>
  <si>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</si>
  <si>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</si>
  <si>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</si>
  <si>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</si>
  <si>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</si>
  <si>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</si>
  <si>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</si>
  <si>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</si>
  <si>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</si>
  <si>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</si>
  <si>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</si>
  <si>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</si>
  <si>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</si>
  <si>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</si>
  <si>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</si>
  <si>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</si>
  <si>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</si>
  <si>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</si>
  <si>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</si>
  <si>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</si>
  <si>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</si>
  <si>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</si>
  <si>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</si>
  <si>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</si>
  <si>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</si>
  <si>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</si>
  <si>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</si>
  <si>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</si>
  <si>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</si>
  <si>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</si>
  <si>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</si>
  <si>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</si>
  <si>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</si>
  <si>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</si>
  <si>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</si>
  <si>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</si>
  <si>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</si>
  <si>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</si>
  <si>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</si>
  <si>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</si>
  <si>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</si>
  <si>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</si>
  <si>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</si>
  <si>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</si>
  <si>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</si>
  <si>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</si>
  <si>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</si>
  <si>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</si>
  <si>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</si>
  <si>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</si>
  <si>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</si>
  <si>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</si>
  <si>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</si>
  <si>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</si>
  <si>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</si>
  <si>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</si>
  <si>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</si>
  <si>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</si>
  <si>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</si>
  <si>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</si>
  <si>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</si>
  <si>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</si>
  <si>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</si>
  <si>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</si>
  <si>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</si>
  <si>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</si>
  <si>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</si>
  <si>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</si>
  <si>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</si>
  <si>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</si>
  <si>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</si>
  <si>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</si>
  <si>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</si>
  <si>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</si>
  <si>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</si>
  <si>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</si>
  <si>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</si>
  <si>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</si>
  <si>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</si>
  <si>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</si>
  <si>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</si>
  <si>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</si>
  <si>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</si>
  <si>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</si>
  <si>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</si>
  <si>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</si>
  <si>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</si>
  <si>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</si>
  <si>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</si>
  <si>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</si>
  <si>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</si>
  <si>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</si>
  <si>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</si>
  <si>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</si>
  <si>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</si>
  <si>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</si>
  <si>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</si>
  <si>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</si>
  <si>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</si>
  <si>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</si>
  <si>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</si>
  <si>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</si>
  <si>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</si>
  <si>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</si>
  <si>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</si>
  <si>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</si>
  <si>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</si>
  <si>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</si>
  <si>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</si>
  <si>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</si>
  <si>
    <t>Cabs</t>
  </si>
  <si>
    <t>Mans</t>
  </si>
  <si>
    <t>Luis</t>
  </si>
  <si>
    <t>Luie</t>
  </si>
  <si>
    <t>Senior High School In-Charge</t>
  </si>
  <si>
    <t>Junior High School In-Charge</t>
  </si>
  <si>
    <t>BSP Coordinator</t>
  </si>
  <si>
    <t>SDRRM Coordinator</t>
  </si>
  <si>
    <t>SSLG Coordinator</t>
  </si>
  <si>
    <t>GSP oordinator</t>
  </si>
  <si>
    <t>Canteen Coordinator</t>
  </si>
  <si>
    <t>Health Aid Coordinator</t>
  </si>
  <si>
    <t>Math</t>
  </si>
  <si>
    <t>ICT/Progamming</t>
  </si>
  <si>
    <t>N/A</t>
  </si>
  <si>
    <t>EPP</t>
  </si>
  <si>
    <t>Electronic Product Assembly and Servicing</t>
  </si>
  <si>
    <t>Hairdressing/Beauty Care</t>
  </si>
  <si>
    <t>Computer Systems Servicing / Filipino</t>
  </si>
  <si>
    <t>7th Grade Level Chairpersons</t>
  </si>
  <si>
    <t>8th Grade Level Chairpersons</t>
  </si>
  <si>
    <t>Subject Teacher</t>
  </si>
  <si>
    <t>LIS/ICT/EBEIS Coordinator/SMIS Manager</t>
  </si>
  <si>
    <t>advisoryGradeLevel</t>
  </si>
  <si>
    <t>advisorySection</t>
  </si>
  <si>
    <t>Swan</t>
  </si>
  <si>
    <t>Jade</t>
  </si>
  <si>
    <t>Maple</t>
  </si>
  <si>
    <t>Ruby</t>
  </si>
  <si>
    <t>Raven</t>
  </si>
  <si>
    <t>Carrion</t>
  </si>
  <si>
    <t>Olive</t>
  </si>
  <si>
    <t>Emerald</t>
  </si>
  <si>
    <t>Periwinkle</t>
  </si>
  <si>
    <t>Cypress</t>
  </si>
  <si>
    <t>Amethyst</t>
  </si>
  <si>
    <t>Falcon</t>
  </si>
  <si>
    <t>Dove</t>
  </si>
  <si>
    <t>Rose</t>
  </si>
  <si>
    <t>Diamond</t>
  </si>
  <si>
    <t>Aspen</t>
  </si>
  <si>
    <t>Hyacinth</t>
  </si>
  <si>
    <t>Canary</t>
  </si>
  <si>
    <t>Stargazer</t>
  </si>
  <si>
    <t>Sapphire</t>
  </si>
  <si>
    <t>Eagle</t>
  </si>
  <si>
    <t>Elm</t>
  </si>
  <si>
    <t>Hazel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</si>
</sst>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Y71" headerRowDxfId="27" dataDxfId="26" totalsRowDxfId="25">
  <tableColumns count="25">
    <tableColumn id="1" xr3:uid="{00000000-0010-0000-0000-000001000000}" name="order" dataDxfId="24"/>
    <tableColumn id="2" xr3:uid="{00000000-0010-0000-0000-000002000000}" name="lastName" dataDxfId="23"/>
    <tableColumn id="10" xr3:uid="{AF2D5150-6C8E-4586-A045-6EA7C80A524C}" name="firstName" dataDxfId="22"/>
    <tableColumn id="12" xr3:uid="{DEB63105-4C35-428E-B5D1-A14E3164B3DA}" name="middleName" dataDxfId="21"/>
    <tableColumn id="11" xr3:uid="{CFE5C25B-9704-4E8F-ACBC-C9336567385E}" name="middleInitial" dataDxfId="20">
      <calculatedColumnFormula>IF(D2="","",LEFT(TRIM(D2),1)&amp;".")</calculatedColumnFormula>
    </tableColumn>
    <tableColumn id="9" xr3:uid="{C15E3D36-7D44-4129-AD8E-8A7781CC6A93}" name="suffix" dataDxfId="19"/>
    <tableColumn id="13" xr3:uid="{1E3C14F7-2268-499C-B881-A1FE0A7127D7}" name="displayName" dataDxfId="18">
      <calculatedColumnFormula>TRIM(_xlfn.TEXTJOIN(" ",TRUE,C2,IF(E2&lt;&gt;"",IF(RIGHT(E2,1)=".",E2,E2&amp;"."),D2),B2,F2))</calculatedColumnFormula>
    </tableColumn>
    <tableColumn id="3" xr3:uid="{00000000-0010-0000-0000-000003000000}" name="position" dataDxfId="17"/>
    <tableColumn id="14" xr3:uid="{871D5899-2C99-449D-AE1E-5492B1075D69}" name="designation1" dataDxfId="16"/>
    <tableColumn id="24" xr3:uid="{9E70E31F-1B17-4E67-A99E-4037A94153C1}" name="advisoryGradeLevel" dataDxfId="1"/>
    <tableColumn id="25" xr3:uid="{82F63A8C-E0AF-4172-B1EB-CC758DA39858}" name="advisorySection" dataDxfId="0"/>
    <tableColumn id="15" xr3:uid="{F4F0A446-7DFB-4099-8C3C-39E5D7D48BD0}" name="designation2" dataDxfId="15"/>
    <tableColumn id="16" xr3:uid="{9D4F6523-1087-480E-82D3-17DF6BB11D95}" name="designation3" dataDxfId="14"/>
    <tableColumn id="18" xr3:uid="{30162747-79C9-4043-9391-B8B420E4C626}" name="designation4" dataDxfId="13"/>
    <tableColumn id="17" xr3:uid="{820C0CC6-055B-4F59-A5A5-608142530FDE}" name="otherDesignations" dataDxfId="12"/>
    <tableColumn id="4" xr3:uid="{00000000-0010-0000-0000-000004000000}" name="category" dataDxfId="11"/>
    <tableColumn id="5" xr3:uid="{00000000-0010-0000-0000-000005000000}" name="department" dataDxfId="10"/>
    <tableColumn id="6" xr3:uid="{00000000-0010-0000-0000-000006000000}" name="subjectArea" dataDxfId="9"/>
    <tableColumn id="23" xr3:uid="{07B5CB0A-FE18-46C6-B1E6-1B1D900FB654}" name="displayGroup" dataDxfId="8"/>
    <tableColumn id="22" xr3:uid="{65EBFB40-77EE-48B3-8561-311242B8D6D2}" name="subGroup" dataDxfId="7"/>
    <tableColumn id="21" xr3:uid="{AE424BEB-0E42-47BC-8BF7-A0E6C15B9F30}" name="groupOrder" dataDxfId="6"/>
    <tableColumn id="20" xr3:uid="{8ED835C9-250F-4A69-B1C0-89AD725EFF0F}" name="subGroupOrder" dataDxfId="5"/>
    <tableColumn id="19" xr3:uid="{894550D0-2DF4-4E17-A2FB-C537176088F7}" name="personOrder" dataDxfId="4"/>
    <tableColumn id="7" xr3:uid="{00000000-0010-0000-0000-000007000000}" name="photoUrl" dataDxfId="3"/>
    <tableColumn id="8" xr3:uid="{00000000-0010-0000-0000-000008000000}" name="statu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1"/>
  <sheetViews>
    <sheetView tabSelected="1" zoomScale="85" zoomScaleNormal="85" workbookViewId="0">
      <pane xSplit="8" ySplit="1" topLeftCell="I28" activePane="bottomRight" state="frozen"/>
      <selection pane="topRight" activeCell="I1" sqref="I1"/>
      <selection pane="bottomLeft" activeCell="A2" sqref="A2"/>
      <selection pane="bottomRight" activeCell="G30" sqref="G30"/>
    </sheetView>
  </sheetViews>
  <sheetFormatPr defaultRowHeight="16.8"/>
  <cols>
    <col min="1" max="1" width="5.59765625" style="4" bestFit="1" customWidth="1"/>
    <col min="2" max="2" width="11.09765625" style="4" bestFit="1" customWidth="1"/>
    <col min="3" max="3" width="13.8984375" style="4" bestFit="1" customWidth="1"/>
    <col min="4" max="4" width="14.59765625" style="4" customWidth="1"/>
    <col min="5" max="5" width="13.3984375" style="4" customWidth="1"/>
    <col min="6" max="6" width="5.796875" style="4" bestFit="1" customWidth="1"/>
    <col min="7" max="7" width="30.3984375" style="4" customWidth="1"/>
    <col min="8" max="8" width="23.5" style="4" customWidth="1"/>
    <col min="9" max="9" width="40.796875" style="11" customWidth="1"/>
    <col min="10" max="10" width="19.296875" style="11" customWidth="1"/>
    <col min="11" max="11" width="17.296875" style="11" customWidth="1"/>
    <col min="12" max="12" width="31" style="4" customWidth="1"/>
    <col min="13" max="14" width="28" style="4" customWidth="1"/>
    <col min="15" max="15" width="32.8984375" style="4" customWidth="1"/>
    <col min="16" max="16" width="26.69921875" style="4" customWidth="1"/>
    <col min="17" max="17" width="20.09765625" style="4" bestFit="1" customWidth="1"/>
    <col min="18" max="18" width="45.19921875" style="7" customWidth="1"/>
    <col min="19" max="23" width="24.19921875" style="7" customWidth="1"/>
    <col min="24" max="24" width="36.69921875" style="4" customWidth="1"/>
    <col min="25" max="25" width="6.3984375" style="7" bestFit="1" customWidth="1"/>
    <col min="26" max="16384" width="8.796875" style="4"/>
  </cols>
  <sheetData>
    <row r="1" spans="1:25" ht="20.39999999999999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324</v>
      </c>
      <c r="J1" s="8" t="s">
        <v>396</v>
      </c>
      <c r="K1" s="8" t="s">
        <v>397</v>
      </c>
      <c r="L1" s="8" t="s">
        <v>325</v>
      </c>
      <c r="M1" s="8" t="s">
        <v>358</v>
      </c>
      <c r="N1" s="8" t="s">
        <v>359</v>
      </c>
      <c r="O1" s="8" t="s">
        <v>326</v>
      </c>
      <c r="P1" s="8" t="s">
        <v>2</v>
      </c>
      <c r="Q1" s="8" t="s">
        <v>3</v>
      </c>
      <c r="R1" s="8" t="s">
        <v>4</v>
      </c>
      <c r="S1" s="8" t="s">
        <v>360</v>
      </c>
      <c r="T1" s="8" t="s">
        <v>335</v>
      </c>
      <c r="U1" s="8" t="s">
        <v>361</v>
      </c>
      <c r="V1" s="8" t="s">
        <v>362</v>
      </c>
      <c r="W1" s="8" t="s">
        <v>363</v>
      </c>
      <c r="X1" s="8" t="s">
        <v>5</v>
      </c>
      <c r="Y1" s="8" t="s">
        <v>6</v>
      </c>
    </row>
    <row r="2" spans="1:25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9" t="s">
        <v>327</v>
      </c>
      <c r="J2" s="9"/>
      <c r="K2" s="9"/>
      <c r="L2" s="5"/>
      <c r="M2" s="5"/>
      <c r="N2" s="5"/>
      <c r="O2" s="5"/>
      <c r="P2" s="6" t="s">
        <v>13</v>
      </c>
      <c r="Q2" s="5" t="s">
        <v>11</v>
      </c>
      <c r="R2" s="6" t="s">
        <v>334</v>
      </c>
      <c r="S2" s="6"/>
      <c r="T2" s="6"/>
      <c r="U2" s="6"/>
      <c r="V2" s="6">
        <v>2</v>
      </c>
      <c r="W2" s="6"/>
      <c r="X2" s="5" t="str">
        <f>"/personnel/"&amp;LOWER(SUBSTITUTE(TRIM(C2&amp;" "&amp;B2)," ","-"))&amp;".jpg"</f>
        <v>/personnel/paz-abad.jpg</v>
      </c>
      <c r="Y2" s="6" t="s">
        <v>9</v>
      </c>
    </row>
    <row r="3" spans="1:25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10" t="s">
        <v>277</v>
      </c>
      <c r="J3" s="10" t="s">
        <v>353</v>
      </c>
      <c r="K3" s="10" t="s">
        <v>398</v>
      </c>
      <c r="L3" s="5"/>
      <c r="M3" s="5"/>
      <c r="N3" s="5"/>
      <c r="O3" s="5"/>
      <c r="P3" s="6" t="s">
        <v>13</v>
      </c>
      <c r="Q3" s="5" t="s">
        <v>17</v>
      </c>
      <c r="R3" s="6" t="s">
        <v>343</v>
      </c>
      <c r="S3" s="6" t="s">
        <v>277</v>
      </c>
      <c r="T3" s="6"/>
      <c r="U3" s="6"/>
      <c r="V3" s="6"/>
      <c r="W3" s="6"/>
      <c r="X3" s="5" t="str">
        <f t="shared" ref="X3:X66" si="2">"/personnel/"&amp;LOWER(SUBSTITUTE(TRIM(C3&amp;" "&amp;B3)," ","-"))&amp;".jpg"</f>
        <v>/personnel/marissa-abalo.jpg</v>
      </c>
      <c r="Y3" s="6" t="s">
        <v>9</v>
      </c>
    </row>
    <row r="4" spans="1:25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10"/>
      <c r="J4" s="10"/>
      <c r="K4" s="10"/>
      <c r="L4" s="5"/>
      <c r="M4" s="5"/>
      <c r="N4" s="5"/>
      <c r="O4" s="5"/>
      <c r="P4" s="6" t="s">
        <v>13</v>
      </c>
      <c r="Q4" s="5" t="s">
        <v>17</v>
      </c>
      <c r="R4" s="6" t="s">
        <v>385</v>
      </c>
      <c r="S4" s="6"/>
      <c r="T4" s="6"/>
      <c r="U4" s="6"/>
      <c r="V4" s="6"/>
      <c r="W4" s="6"/>
      <c r="X4" s="5" t="str">
        <f t="shared" si="2"/>
        <v>/personnel/joseph-allosada.jpg</v>
      </c>
      <c r="Y4" s="6" t="s">
        <v>9</v>
      </c>
    </row>
    <row r="5" spans="1:25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10" t="s">
        <v>277</v>
      </c>
      <c r="J5" s="10" t="s">
        <v>355</v>
      </c>
      <c r="K5" s="10" t="s">
        <v>399</v>
      </c>
      <c r="L5" s="5"/>
      <c r="M5" s="5"/>
      <c r="N5" s="5"/>
      <c r="O5" s="5"/>
      <c r="P5" s="6" t="s">
        <v>13</v>
      </c>
      <c r="Q5" s="5" t="s">
        <v>17</v>
      </c>
      <c r="R5" s="6" t="s">
        <v>343</v>
      </c>
      <c r="S5" s="6" t="s">
        <v>277</v>
      </c>
      <c r="T5" s="6"/>
      <c r="U5" s="6"/>
      <c r="V5" s="6"/>
      <c r="W5" s="6"/>
      <c r="X5" s="5" t="str">
        <f t="shared" si="2"/>
        <v>/personnel/sharon-gay-alsa.jpg</v>
      </c>
      <c r="Y5" s="6" t="s">
        <v>9</v>
      </c>
    </row>
    <row r="6" spans="1:25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10" t="s">
        <v>277</v>
      </c>
      <c r="J6" s="10"/>
      <c r="K6" s="10"/>
      <c r="L6" s="5"/>
      <c r="M6" s="5"/>
      <c r="N6" s="5"/>
      <c r="O6" s="5"/>
      <c r="P6" s="6" t="s">
        <v>13</v>
      </c>
      <c r="Q6" s="5" t="s">
        <v>14</v>
      </c>
      <c r="R6" s="6" t="s">
        <v>386</v>
      </c>
      <c r="S6" s="6" t="s">
        <v>277</v>
      </c>
      <c r="T6" s="6"/>
      <c r="U6" s="6"/>
      <c r="V6" s="6"/>
      <c r="W6" s="6"/>
      <c r="X6" s="5" t="str">
        <f t="shared" si="2"/>
        <v>/personnel/lonier-andrade.jpg</v>
      </c>
      <c r="Y6" s="6" t="s">
        <v>9</v>
      </c>
    </row>
    <row r="7" spans="1:25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10" t="s">
        <v>277</v>
      </c>
      <c r="J7" s="10" t="s">
        <v>354</v>
      </c>
      <c r="K7" s="10" t="s">
        <v>400</v>
      </c>
      <c r="L7" s="5"/>
      <c r="M7" s="5"/>
      <c r="N7" s="5"/>
      <c r="O7" s="5"/>
      <c r="P7" s="6" t="s">
        <v>13</v>
      </c>
      <c r="Q7" s="5" t="s">
        <v>14</v>
      </c>
      <c r="R7" s="6" t="s">
        <v>344</v>
      </c>
      <c r="S7" s="6" t="s">
        <v>277</v>
      </c>
      <c r="T7" s="6"/>
      <c r="U7" s="6"/>
      <c r="V7" s="6"/>
      <c r="W7" s="6"/>
      <c r="X7" s="5" t="str">
        <f t="shared" si="2"/>
        <v>/personnel/allan-raul-aparicio.jpg</v>
      </c>
      <c r="Y7" s="6" t="s">
        <v>9</v>
      </c>
    </row>
    <row r="8" spans="1:25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10"/>
      <c r="J8" s="10"/>
      <c r="K8" s="10"/>
      <c r="L8" s="5"/>
      <c r="M8" s="5"/>
      <c r="N8" s="5"/>
      <c r="O8" s="5"/>
      <c r="P8" s="6" t="s">
        <v>7</v>
      </c>
      <c r="Q8" s="5" t="s">
        <v>7</v>
      </c>
      <c r="R8" s="6" t="s">
        <v>387</v>
      </c>
      <c r="S8" s="6"/>
      <c r="T8" s="6"/>
      <c r="U8" s="6"/>
      <c r="V8" s="6"/>
      <c r="W8" s="6"/>
      <c r="X8" s="5" t="str">
        <f t="shared" si="2"/>
        <v>/personnel/niña-kristine-ayos.jpg</v>
      </c>
      <c r="Y8" s="6" t="s">
        <v>9</v>
      </c>
    </row>
    <row r="9" spans="1:25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10"/>
      <c r="J9" s="10"/>
      <c r="K9" s="10"/>
      <c r="L9" s="5"/>
      <c r="M9" s="5"/>
      <c r="N9" s="5"/>
      <c r="O9" s="5"/>
      <c r="P9" s="6" t="s">
        <v>13</v>
      </c>
      <c r="Q9" s="5" t="s">
        <v>17</v>
      </c>
      <c r="R9" s="6" t="s">
        <v>344</v>
      </c>
      <c r="S9" s="6"/>
      <c r="T9" s="6"/>
      <c r="U9" s="6"/>
      <c r="V9" s="6"/>
      <c r="W9" s="6"/>
      <c r="X9" s="5" t="str">
        <f t="shared" si="2"/>
        <v>/personnel/glenn-barangan.jpg</v>
      </c>
      <c r="Y9" s="6" t="s">
        <v>9</v>
      </c>
    </row>
    <row r="10" spans="1:25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10" t="s">
        <v>277</v>
      </c>
      <c r="J10" s="10" t="s">
        <v>355</v>
      </c>
      <c r="K10" s="10" t="s">
        <v>401</v>
      </c>
      <c r="L10" s="5"/>
      <c r="M10" s="5"/>
      <c r="N10" s="5"/>
      <c r="O10" s="5"/>
      <c r="P10" s="6" t="s">
        <v>13</v>
      </c>
      <c r="Q10" s="5" t="s">
        <v>14</v>
      </c>
      <c r="R10" s="6" t="s">
        <v>388</v>
      </c>
      <c r="S10" s="6" t="s">
        <v>277</v>
      </c>
      <c r="T10" s="6"/>
      <c r="U10" s="6"/>
      <c r="V10" s="6"/>
      <c r="W10" s="6"/>
      <c r="X10" s="5" t="str">
        <f t="shared" si="2"/>
        <v>/personnel/jake-barcenas.jpg</v>
      </c>
      <c r="Y10" s="6" t="s">
        <v>9</v>
      </c>
    </row>
    <row r="11" spans="1:25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10" t="s">
        <v>277</v>
      </c>
      <c r="J11" s="10" t="s">
        <v>353</v>
      </c>
      <c r="K11" s="10" t="s">
        <v>402</v>
      </c>
      <c r="L11" s="5"/>
      <c r="M11" s="5"/>
      <c r="N11" s="5"/>
      <c r="O11" s="5"/>
      <c r="P11" s="6" t="s">
        <v>13</v>
      </c>
      <c r="Q11" s="5" t="s">
        <v>17</v>
      </c>
      <c r="R11" s="6"/>
      <c r="S11" s="6" t="s">
        <v>277</v>
      </c>
      <c r="T11" s="6"/>
      <c r="U11" s="6"/>
      <c r="V11" s="6"/>
      <c r="W11" s="6"/>
      <c r="X11" s="5" t="str">
        <f t="shared" si="2"/>
        <v>/personnel/eljoy-barroca.jpg</v>
      </c>
      <c r="Y11" s="6" t="s">
        <v>9</v>
      </c>
    </row>
    <row r="12" spans="1:25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10" t="s">
        <v>277</v>
      </c>
      <c r="J12" s="10"/>
      <c r="K12" s="10"/>
      <c r="L12" s="5" t="s">
        <v>379</v>
      </c>
      <c r="M12" s="5"/>
      <c r="N12" s="5"/>
      <c r="O12" s="5"/>
      <c r="P12" s="6" t="s">
        <v>13</v>
      </c>
      <c r="Q12" s="5" t="s">
        <v>17</v>
      </c>
      <c r="R12" s="6"/>
      <c r="S12" s="6" t="s">
        <v>277</v>
      </c>
      <c r="T12" s="6"/>
      <c r="U12" s="6"/>
      <c r="V12" s="6"/>
      <c r="W12" s="6"/>
      <c r="X12" s="5" t="str">
        <f t="shared" si="2"/>
        <v>/personnel/angel-batuigas.jpg</v>
      </c>
      <c r="Y12" s="6" t="s">
        <v>9</v>
      </c>
    </row>
    <row r="13" spans="1:25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10"/>
      <c r="J13" s="10"/>
      <c r="K13" s="10"/>
      <c r="L13" s="5"/>
      <c r="M13" s="5"/>
      <c r="N13" s="5"/>
      <c r="O13" s="5"/>
      <c r="P13" s="6" t="s">
        <v>13</v>
      </c>
      <c r="Q13" s="5" t="s">
        <v>17</v>
      </c>
      <c r="R13" s="6" t="s">
        <v>343</v>
      </c>
      <c r="S13" s="6"/>
      <c r="T13" s="6"/>
      <c r="U13" s="6"/>
      <c r="V13" s="6"/>
      <c r="W13" s="6"/>
      <c r="X13" s="5" t="str">
        <f t="shared" si="2"/>
        <v>/personnel/mary-josephine-bawiga.jpg</v>
      </c>
      <c r="Y13" s="6" t="s">
        <v>9</v>
      </c>
    </row>
    <row r="14" spans="1:25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10" t="s">
        <v>277</v>
      </c>
      <c r="J14" s="10" t="s">
        <v>352</v>
      </c>
      <c r="K14" s="10" t="s">
        <v>403</v>
      </c>
      <c r="L14" s="5"/>
      <c r="M14" s="5"/>
      <c r="N14" s="5"/>
      <c r="O14" s="5"/>
      <c r="P14" s="6" t="s">
        <v>13</v>
      </c>
      <c r="Q14" s="5" t="s">
        <v>17</v>
      </c>
      <c r="R14" s="6" t="s">
        <v>385</v>
      </c>
      <c r="S14" s="6" t="s">
        <v>277</v>
      </c>
      <c r="T14" s="6"/>
      <c r="U14" s="6"/>
      <c r="V14" s="6"/>
      <c r="W14" s="6"/>
      <c r="X14" s="5" t="str">
        <f t="shared" si="2"/>
        <v>/personnel/endrie-bohol.jpg</v>
      </c>
      <c r="Y14" s="6" t="s">
        <v>9</v>
      </c>
    </row>
    <row r="15" spans="1:25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252</v>
      </c>
      <c r="I15" s="10" t="s">
        <v>331</v>
      </c>
      <c r="J15" s="10"/>
      <c r="K15" s="10"/>
      <c r="L15" s="5"/>
      <c r="M15" s="5"/>
      <c r="N15" s="5"/>
      <c r="O15" s="5"/>
      <c r="P15" s="6" t="s">
        <v>13</v>
      </c>
      <c r="Q15" s="5" t="s">
        <v>14</v>
      </c>
      <c r="R15" s="6" t="s">
        <v>385</v>
      </c>
      <c r="S15" s="6" t="s">
        <v>365</v>
      </c>
      <c r="T15" s="6"/>
      <c r="U15" s="6"/>
      <c r="V15" s="6">
        <v>1</v>
      </c>
      <c r="W15" s="6"/>
      <c r="X15" s="5" t="str">
        <f t="shared" si="2"/>
        <v>/personnel/maine-bongas.jpg</v>
      </c>
      <c r="Y15" s="6" t="s">
        <v>9</v>
      </c>
    </row>
    <row r="16" spans="1:25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10" t="s">
        <v>277</v>
      </c>
      <c r="J16" s="10"/>
      <c r="K16" s="10"/>
      <c r="L16" s="5"/>
      <c r="M16" s="5"/>
      <c r="N16" s="5"/>
      <c r="O16" s="5"/>
      <c r="P16" s="6" t="s">
        <v>13</v>
      </c>
      <c r="Q16" s="5" t="s">
        <v>17</v>
      </c>
      <c r="R16" s="6"/>
      <c r="S16" s="6" t="s">
        <v>277</v>
      </c>
      <c r="T16" s="6"/>
      <c r="U16" s="6"/>
      <c r="V16" s="6"/>
      <c r="W16" s="6"/>
      <c r="X16" s="5" t="str">
        <f t="shared" si="2"/>
        <v>/personnel/ruth-briones.jpg</v>
      </c>
      <c r="Y16" s="6" t="s">
        <v>9</v>
      </c>
    </row>
    <row r="17" spans="1:25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10"/>
      <c r="J17" s="10"/>
      <c r="K17" s="10"/>
      <c r="L17" s="5"/>
      <c r="M17" s="5"/>
      <c r="N17" s="5"/>
      <c r="O17" s="5"/>
      <c r="P17" s="6" t="s">
        <v>13</v>
      </c>
      <c r="Q17" s="5" t="s">
        <v>17</v>
      </c>
      <c r="R17" s="6"/>
      <c r="S17" s="6"/>
      <c r="T17" s="6"/>
      <c r="U17" s="6"/>
      <c r="V17" s="6"/>
      <c r="W17" s="6"/>
      <c r="X17" s="5" t="str">
        <f t="shared" si="2"/>
        <v>/personnel/sharon-broñola.jpg</v>
      </c>
      <c r="Y17" s="6" t="s">
        <v>9</v>
      </c>
    </row>
    <row r="18" spans="1:25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10" t="s">
        <v>377</v>
      </c>
      <c r="J18" s="10"/>
      <c r="K18" s="10"/>
      <c r="L18" s="5"/>
      <c r="M18" s="5"/>
      <c r="N18" s="5"/>
      <c r="O18" s="5"/>
      <c r="P18" s="6" t="s">
        <v>7</v>
      </c>
      <c r="Q18" s="5" t="s">
        <v>14</v>
      </c>
      <c r="R18" s="6" t="s">
        <v>387</v>
      </c>
      <c r="S18" s="6"/>
      <c r="T18" s="6"/>
      <c r="U18" s="6"/>
      <c r="V18" s="6"/>
      <c r="W18" s="6"/>
      <c r="X18" s="5" t="str">
        <f t="shared" si="2"/>
        <v>/personnel/joan-cabalda.jpg</v>
      </c>
      <c r="Y18" s="6" t="s">
        <v>9</v>
      </c>
    </row>
    <row r="19" spans="1:25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249</v>
      </c>
      <c r="I19" s="10" t="s">
        <v>384</v>
      </c>
      <c r="J19" s="10"/>
      <c r="K19" s="10"/>
      <c r="L19" s="5"/>
      <c r="M19" s="5"/>
      <c r="N19" s="5"/>
      <c r="O19" s="5"/>
      <c r="P19" s="6" t="s">
        <v>13</v>
      </c>
      <c r="Q19" s="5" t="s">
        <v>14</v>
      </c>
      <c r="R19" s="6" t="s">
        <v>339</v>
      </c>
      <c r="S19" s="6" t="s">
        <v>365</v>
      </c>
      <c r="T19" s="6"/>
      <c r="U19" s="6"/>
      <c r="V19" s="6"/>
      <c r="W19" s="6"/>
      <c r="X19" s="5" t="str">
        <f t="shared" si="2"/>
        <v>/personnel/gracelyn-cabunag.jpg</v>
      </c>
      <c r="Y19" s="6" t="s">
        <v>9</v>
      </c>
    </row>
    <row r="20" spans="1:25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10" t="s">
        <v>328</v>
      </c>
      <c r="J20" s="10"/>
      <c r="K20" s="10"/>
      <c r="L20" s="5"/>
      <c r="M20" s="5"/>
      <c r="N20" s="5"/>
      <c r="O20" s="5"/>
      <c r="P20" s="6" t="s">
        <v>13</v>
      </c>
      <c r="Q20" s="5" t="s">
        <v>11</v>
      </c>
      <c r="R20" s="6" t="s">
        <v>343</v>
      </c>
      <c r="S20" s="6"/>
      <c r="T20" s="6"/>
      <c r="U20" s="6"/>
      <c r="V20" s="6">
        <v>3</v>
      </c>
      <c r="W20" s="6"/>
      <c r="X20" s="5" t="str">
        <f t="shared" si="2"/>
        <v>/personnel/hector-cabanca.jpg</v>
      </c>
      <c r="Y20" s="6" t="s">
        <v>9</v>
      </c>
    </row>
    <row r="21" spans="1:25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10" t="s">
        <v>277</v>
      </c>
      <c r="J21" s="10" t="s">
        <v>354</v>
      </c>
      <c r="K21" s="10" t="s">
        <v>404</v>
      </c>
      <c r="L21" s="5"/>
      <c r="M21" s="5"/>
      <c r="N21" s="5"/>
      <c r="O21" s="5"/>
      <c r="P21" s="6" t="s">
        <v>13</v>
      </c>
      <c r="Q21" s="5" t="s">
        <v>17</v>
      </c>
      <c r="R21" s="6" t="s">
        <v>343</v>
      </c>
      <c r="S21" s="6" t="s">
        <v>277</v>
      </c>
      <c r="T21" s="6"/>
      <c r="U21" s="6"/>
      <c r="V21" s="6"/>
      <c r="W21" s="6"/>
      <c r="X21" s="5" t="str">
        <f t="shared" si="2"/>
        <v>/personnel/jeffrey-caberte.jpg</v>
      </c>
      <c r="Y21" s="6" t="s">
        <v>9</v>
      </c>
    </row>
    <row r="22" spans="1:25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10" t="s">
        <v>277</v>
      </c>
      <c r="J22" s="10" t="s">
        <v>355</v>
      </c>
      <c r="K22" s="10" t="s">
        <v>405</v>
      </c>
      <c r="L22" s="5"/>
      <c r="M22" s="5"/>
      <c r="N22" s="5"/>
      <c r="O22" s="5"/>
      <c r="P22" s="6" t="s">
        <v>13</v>
      </c>
      <c r="Q22" s="5" t="s">
        <v>17</v>
      </c>
      <c r="R22" s="6"/>
      <c r="S22" s="6" t="s">
        <v>277</v>
      </c>
      <c r="T22" s="6"/>
      <c r="U22" s="6"/>
      <c r="V22" s="6"/>
      <c r="W22" s="6"/>
      <c r="X22" s="5" t="str">
        <f t="shared" si="2"/>
        <v>/personnel/marilou-cabriana.jpg</v>
      </c>
      <c r="Y22" s="6" t="s">
        <v>9</v>
      </c>
    </row>
    <row r="23" spans="1:25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10" t="s">
        <v>364</v>
      </c>
      <c r="J23" s="10"/>
      <c r="K23" s="10"/>
      <c r="L23" s="5"/>
      <c r="M23" s="5"/>
      <c r="N23" s="5"/>
      <c r="O23" s="5"/>
      <c r="P23" s="6" t="s">
        <v>7</v>
      </c>
      <c r="Q23" s="5" t="s">
        <v>7</v>
      </c>
      <c r="R23" s="6" t="s">
        <v>387</v>
      </c>
      <c r="S23" s="6" t="s">
        <v>364</v>
      </c>
      <c r="T23" s="6"/>
      <c r="U23" s="6"/>
      <c r="V23" s="6"/>
      <c r="W23" s="6"/>
      <c r="X23" s="5" t="str">
        <f t="shared" si="2"/>
        <v>/personnel/jasmin-cabuenas.jpg</v>
      </c>
      <c r="Y23" s="6" t="s">
        <v>9</v>
      </c>
    </row>
    <row r="24" spans="1:25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10" t="s">
        <v>394</v>
      </c>
      <c r="J24" s="10"/>
      <c r="K24" s="10"/>
      <c r="L24" s="5"/>
      <c r="M24" s="5"/>
      <c r="N24" s="5"/>
      <c r="O24" s="5"/>
      <c r="P24" s="6" t="s">
        <v>13</v>
      </c>
      <c r="Q24" s="5" t="s">
        <v>17</v>
      </c>
      <c r="R24" s="6" t="s">
        <v>334</v>
      </c>
      <c r="S24" s="6" t="s">
        <v>369</v>
      </c>
      <c r="T24" s="6"/>
      <c r="U24" s="6"/>
      <c r="V24" s="6"/>
      <c r="W24" s="6"/>
      <c r="X24" s="5" t="str">
        <f t="shared" si="2"/>
        <v>/personnel/elsa-calunod.jpg</v>
      </c>
      <c r="Y24" s="6" t="s">
        <v>9</v>
      </c>
    </row>
    <row r="25" spans="1:25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10" t="s">
        <v>277</v>
      </c>
      <c r="J25" s="10" t="s">
        <v>352</v>
      </c>
      <c r="K25" s="10" t="s">
        <v>406</v>
      </c>
      <c r="L25" s="5"/>
      <c r="M25" s="5"/>
      <c r="N25" s="5"/>
      <c r="O25" s="5"/>
      <c r="P25" s="6" t="s">
        <v>13</v>
      </c>
      <c r="Q25" s="5" t="s">
        <v>17</v>
      </c>
      <c r="R25" s="6" t="s">
        <v>339</v>
      </c>
      <c r="S25" s="6" t="s">
        <v>277</v>
      </c>
      <c r="T25" s="6"/>
      <c r="U25" s="6"/>
      <c r="V25" s="6"/>
      <c r="W25" s="6"/>
      <c r="X25" s="5" t="str">
        <f t="shared" si="2"/>
        <v>/personnel/leslyn-rose-camero.jpg</v>
      </c>
      <c r="Y25" s="6" t="s">
        <v>9</v>
      </c>
    </row>
    <row r="26" spans="1:25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10" t="s">
        <v>378</v>
      </c>
      <c r="J26" s="10"/>
      <c r="K26" s="10"/>
      <c r="L26" s="5"/>
      <c r="M26" s="5"/>
      <c r="N26" s="5"/>
      <c r="O26" s="5"/>
      <c r="P26" s="6" t="s">
        <v>7</v>
      </c>
      <c r="Q26" s="5" t="s">
        <v>17</v>
      </c>
      <c r="R26" s="6" t="s">
        <v>387</v>
      </c>
      <c r="S26" s="6" t="s">
        <v>364</v>
      </c>
      <c r="T26" s="6"/>
      <c r="U26" s="6"/>
      <c r="V26" s="6"/>
      <c r="W26" s="6"/>
      <c r="X26" s="5" t="str">
        <f t="shared" si="2"/>
        <v>/personnel/dawn-camille-caparida.jpg</v>
      </c>
      <c r="Y26" s="6" t="s">
        <v>9</v>
      </c>
    </row>
    <row r="27" spans="1:25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10" t="s">
        <v>277</v>
      </c>
      <c r="J27" s="10" t="s">
        <v>354</v>
      </c>
      <c r="K27" s="10" t="s">
        <v>407</v>
      </c>
      <c r="L27" s="5"/>
      <c r="M27" s="5"/>
      <c r="N27" s="5"/>
      <c r="O27" s="5"/>
      <c r="P27" s="6" t="s">
        <v>13</v>
      </c>
      <c r="Q27" s="5" t="s">
        <v>17</v>
      </c>
      <c r="R27" s="6" t="s">
        <v>385</v>
      </c>
      <c r="S27" s="6" t="s">
        <v>277</v>
      </c>
      <c r="T27" s="6"/>
      <c r="U27" s="6"/>
      <c r="V27" s="6"/>
      <c r="W27" s="6"/>
      <c r="X27" s="5" t="str">
        <f t="shared" si="2"/>
        <v>/personnel/lourence-capa.jpg</v>
      </c>
      <c r="Y27" s="6" t="s">
        <v>9</v>
      </c>
    </row>
    <row r="28" spans="1:25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10" t="s">
        <v>277</v>
      </c>
      <c r="J28" s="10" t="s">
        <v>355</v>
      </c>
      <c r="K28" s="10" t="s">
        <v>408</v>
      </c>
      <c r="L28" s="5"/>
      <c r="M28" s="5"/>
      <c r="N28" s="5"/>
      <c r="O28" s="5"/>
      <c r="P28" s="6" t="s">
        <v>13</v>
      </c>
      <c r="Q28" s="5" t="s">
        <v>17</v>
      </c>
      <c r="R28" s="6" t="s">
        <v>341</v>
      </c>
      <c r="S28" s="6" t="s">
        <v>277</v>
      </c>
      <c r="T28" s="6"/>
      <c r="U28" s="6"/>
      <c r="V28" s="6"/>
      <c r="W28" s="6"/>
      <c r="X28" s="5" t="str">
        <f t="shared" si="2"/>
        <v>/personnel/joan-cavite.jpg</v>
      </c>
      <c r="Y28" s="6" t="s">
        <v>9</v>
      </c>
    </row>
    <row r="29" spans="1:25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270</v>
      </c>
      <c r="I29" s="10" t="s">
        <v>277</v>
      </c>
      <c r="J29" s="10"/>
      <c r="K29" s="10"/>
      <c r="L29" s="5"/>
      <c r="M29" s="5"/>
      <c r="N29" s="5"/>
      <c r="O29" s="5"/>
      <c r="P29" s="6" t="s">
        <v>13</v>
      </c>
      <c r="Q29" s="5" t="s">
        <v>14</v>
      </c>
      <c r="R29" s="6" t="s">
        <v>385</v>
      </c>
      <c r="S29" s="6" t="s">
        <v>277</v>
      </c>
      <c r="T29" s="6"/>
      <c r="U29" s="6"/>
      <c r="V29" s="6"/>
      <c r="W29" s="6"/>
      <c r="X29" s="5" t="str">
        <f t="shared" si="2"/>
        <v>/personnel/joseph-dagaraga.jpg</v>
      </c>
      <c r="Y29" s="6" t="s">
        <v>9</v>
      </c>
    </row>
    <row r="30" spans="1:25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10" t="s">
        <v>369</v>
      </c>
      <c r="J30" s="10"/>
      <c r="K30" s="10"/>
      <c r="L30" s="5"/>
      <c r="M30" s="5"/>
      <c r="N30" s="5"/>
      <c r="O30" s="5"/>
      <c r="P30" s="6" t="s">
        <v>13</v>
      </c>
      <c r="Q30" s="5" t="s">
        <v>17</v>
      </c>
      <c r="R30" s="6" t="s">
        <v>342</v>
      </c>
      <c r="S30" s="6" t="s">
        <v>369</v>
      </c>
      <c r="T30" s="6"/>
      <c r="U30" s="6"/>
      <c r="V30" s="6"/>
      <c r="W30" s="6"/>
      <c r="X30" s="5" t="str">
        <f t="shared" si="2"/>
        <v>/personnel/carolyn-delos-reyes.jpg</v>
      </c>
      <c r="Y30" s="6" t="s">
        <v>9</v>
      </c>
    </row>
    <row r="31" spans="1:25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16</v>
      </c>
      <c r="I31" s="10" t="s">
        <v>369</v>
      </c>
      <c r="J31" s="10"/>
      <c r="K31" s="10"/>
      <c r="L31" s="5"/>
      <c r="M31" s="5"/>
      <c r="N31" s="5"/>
      <c r="O31" s="5"/>
      <c r="P31" s="6" t="s">
        <v>13</v>
      </c>
      <c r="Q31" s="5" t="s">
        <v>17</v>
      </c>
      <c r="R31" s="6" t="s">
        <v>343</v>
      </c>
      <c r="S31" s="6" t="s">
        <v>369</v>
      </c>
      <c r="T31" s="6"/>
      <c r="U31" s="6"/>
      <c r="V31" s="6"/>
      <c r="W31" s="6"/>
      <c r="X31" s="5" t="str">
        <f t="shared" si="2"/>
        <v>/personnel/lucille-echavez.jpg</v>
      </c>
      <c r="Y31" s="6" t="s">
        <v>9</v>
      </c>
    </row>
    <row r="32" spans="1:25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270</v>
      </c>
      <c r="I32" s="10" t="s">
        <v>279</v>
      </c>
      <c r="J32" s="10"/>
      <c r="K32" s="10"/>
      <c r="L32" s="5"/>
      <c r="M32" s="5"/>
      <c r="N32" s="5"/>
      <c r="O32" s="5"/>
      <c r="P32" s="6" t="s">
        <v>13</v>
      </c>
      <c r="Q32" s="5" t="s">
        <v>14</v>
      </c>
      <c r="R32" s="6" t="s">
        <v>389</v>
      </c>
      <c r="S32" s="6" t="s">
        <v>365</v>
      </c>
      <c r="T32" s="6"/>
      <c r="U32" s="6"/>
      <c r="V32" s="6"/>
      <c r="W32" s="6"/>
      <c r="X32" s="5" t="str">
        <f t="shared" si="2"/>
        <v>/personnel/benerando-erediano.jpg</v>
      </c>
      <c r="Y32" s="6" t="s">
        <v>9</v>
      </c>
    </row>
    <row r="33" spans="1:25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10" t="s">
        <v>393</v>
      </c>
      <c r="J33" s="10"/>
      <c r="K33" s="10"/>
      <c r="L33" s="5"/>
      <c r="M33" s="5"/>
      <c r="N33" s="5"/>
      <c r="O33" s="5"/>
      <c r="P33" s="6" t="s">
        <v>13</v>
      </c>
      <c r="Q33" s="5" t="s">
        <v>17</v>
      </c>
      <c r="R33" s="6" t="s">
        <v>341</v>
      </c>
      <c r="S33" s="6" t="s">
        <v>367</v>
      </c>
      <c r="T33" s="6"/>
      <c r="U33" s="6"/>
      <c r="V33" s="6">
        <v>4</v>
      </c>
      <c r="W33" s="6"/>
      <c r="X33" s="5" t="str">
        <f t="shared" si="2"/>
        <v>/personnel/metchie-gay-gastanes.jpg</v>
      </c>
      <c r="Y33" s="6" t="s">
        <v>9</v>
      </c>
    </row>
    <row r="34" spans="1:25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10" t="s">
        <v>383</v>
      </c>
      <c r="J34" s="10"/>
      <c r="K34" s="10"/>
      <c r="L34" s="5"/>
      <c r="M34" s="5"/>
      <c r="N34" s="5"/>
      <c r="O34" s="5"/>
      <c r="P34" s="6" t="s">
        <v>13</v>
      </c>
      <c r="Q34" s="5" t="s">
        <v>17</v>
      </c>
      <c r="R34" s="6" t="s">
        <v>344</v>
      </c>
      <c r="S34" s="6" t="s">
        <v>365</v>
      </c>
      <c r="T34" s="6"/>
      <c r="U34" s="6"/>
      <c r="V34" s="6"/>
      <c r="W34" s="6"/>
      <c r="X34" s="5" t="str">
        <f t="shared" si="2"/>
        <v>/personnel/jasmin-gerodias.jpg</v>
      </c>
      <c r="Y34" s="6" t="s">
        <v>9</v>
      </c>
    </row>
    <row r="35" spans="1:25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10" t="s">
        <v>277</v>
      </c>
      <c r="J35" s="10" t="s">
        <v>353</v>
      </c>
      <c r="K35" s="10" t="s">
        <v>409</v>
      </c>
      <c r="L35" s="5"/>
      <c r="M35" s="5"/>
      <c r="N35" s="5"/>
      <c r="O35" s="5"/>
      <c r="P35" s="6" t="s">
        <v>13</v>
      </c>
      <c r="Q35" s="5" t="s">
        <v>17</v>
      </c>
      <c r="R35" s="6" t="s">
        <v>334</v>
      </c>
      <c r="S35" s="6" t="s">
        <v>277</v>
      </c>
      <c r="T35" s="6"/>
      <c r="U35" s="6"/>
      <c r="V35" s="6"/>
      <c r="W35" s="6"/>
      <c r="X35" s="5" t="str">
        <f t="shared" si="2"/>
        <v>/personnel/jeralyn-gerra.jpg</v>
      </c>
      <c r="Y35" s="6" t="s">
        <v>9</v>
      </c>
    </row>
    <row r="36" spans="1:25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10" t="s">
        <v>277</v>
      </c>
      <c r="J36" s="10" t="s">
        <v>353</v>
      </c>
      <c r="K36" s="10" t="s">
        <v>410</v>
      </c>
      <c r="L36" s="5"/>
      <c r="M36" s="5"/>
      <c r="N36" s="5"/>
      <c r="O36" s="5"/>
      <c r="P36" s="6" t="s">
        <v>13</v>
      </c>
      <c r="Q36" s="5" t="s">
        <v>17</v>
      </c>
      <c r="R36" s="6" t="s">
        <v>342</v>
      </c>
      <c r="S36" s="6" t="s">
        <v>277</v>
      </c>
      <c r="T36" s="6"/>
      <c r="U36" s="6"/>
      <c r="V36" s="6"/>
      <c r="W36" s="6"/>
      <c r="X36" s="5" t="str">
        <f t="shared" si="2"/>
        <v>/personnel/genesa-goc-ong.jpg</v>
      </c>
      <c r="Y36" s="6" t="s">
        <v>9</v>
      </c>
    </row>
    <row r="37" spans="1:25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10" t="s">
        <v>369</v>
      </c>
      <c r="J37" s="10"/>
      <c r="K37" s="10"/>
      <c r="L37" s="5"/>
      <c r="M37" s="5"/>
      <c r="N37" s="5"/>
      <c r="O37" s="5"/>
      <c r="P37" s="6" t="s">
        <v>13</v>
      </c>
      <c r="Q37" s="5" t="s">
        <v>17</v>
      </c>
      <c r="R37" s="6" t="s">
        <v>339</v>
      </c>
      <c r="S37" s="6" t="s">
        <v>369</v>
      </c>
      <c r="T37" s="6"/>
      <c r="U37" s="6"/>
      <c r="V37" s="6"/>
      <c r="W37" s="6"/>
      <c r="X37" s="5" t="str">
        <f t="shared" si="2"/>
        <v>/personnel/janelou-gomez.jpg</v>
      </c>
      <c r="Y37" s="6" t="s">
        <v>9</v>
      </c>
    </row>
    <row r="38" spans="1:25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10" t="s">
        <v>277</v>
      </c>
      <c r="J38" s="10" t="s">
        <v>352</v>
      </c>
      <c r="K38" s="10" t="s">
        <v>411</v>
      </c>
      <c r="L38" s="5"/>
      <c r="M38" s="5"/>
      <c r="N38" s="5"/>
      <c r="O38" s="5"/>
      <c r="P38" s="6" t="s">
        <v>13</v>
      </c>
      <c r="Q38" s="5" t="s">
        <v>17</v>
      </c>
      <c r="R38" s="6" t="s">
        <v>334</v>
      </c>
      <c r="S38" s="6" t="s">
        <v>277</v>
      </c>
      <c r="T38" s="6"/>
      <c r="U38" s="6"/>
      <c r="V38" s="6"/>
      <c r="W38" s="6"/>
      <c r="X38" s="5" t="str">
        <f t="shared" si="2"/>
        <v>/personnel/junnelyn-herbito.jpg</v>
      </c>
      <c r="Y38" s="6" t="s">
        <v>9</v>
      </c>
    </row>
    <row r="39" spans="1:25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10" t="s">
        <v>277</v>
      </c>
      <c r="J39" s="10" t="s">
        <v>355</v>
      </c>
      <c r="K39" s="10" t="s">
        <v>412</v>
      </c>
      <c r="L39" s="5"/>
      <c r="M39" s="5"/>
      <c r="N39" s="5"/>
      <c r="O39" s="5"/>
      <c r="P39" s="6" t="s">
        <v>13</v>
      </c>
      <c r="Q39" s="5" t="s">
        <v>17</v>
      </c>
      <c r="R39" s="6" t="s">
        <v>334</v>
      </c>
      <c r="S39" s="6" t="s">
        <v>277</v>
      </c>
      <c r="T39" s="6"/>
      <c r="U39" s="6"/>
      <c r="V39" s="6"/>
      <c r="W39" s="6"/>
      <c r="X39" s="5" t="str">
        <f t="shared" si="2"/>
        <v>/personnel/roxan-mae-jao.jpg</v>
      </c>
      <c r="Y39" s="6" t="s">
        <v>9</v>
      </c>
    </row>
    <row r="40" spans="1:25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10" t="s">
        <v>369</v>
      </c>
      <c r="J40" s="10"/>
      <c r="K40" s="10"/>
      <c r="L40" s="5"/>
      <c r="M40" s="5"/>
      <c r="N40" s="5"/>
      <c r="O40" s="5"/>
      <c r="P40" s="6" t="s">
        <v>13</v>
      </c>
      <c r="Q40" s="5" t="s">
        <v>17</v>
      </c>
      <c r="R40" s="6"/>
      <c r="S40" s="6" t="s">
        <v>369</v>
      </c>
      <c r="T40" s="6"/>
      <c r="U40" s="6"/>
      <c r="V40" s="6"/>
      <c r="W40" s="6"/>
      <c r="X40" s="5" t="str">
        <f t="shared" si="2"/>
        <v>/personnel/fernando-laspiñas.jpg</v>
      </c>
      <c r="Y40" s="6" t="s">
        <v>9</v>
      </c>
    </row>
    <row r="41" spans="1:25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10" t="s">
        <v>369</v>
      </c>
      <c r="J41" s="10"/>
      <c r="K41" s="10"/>
      <c r="L41" s="5"/>
      <c r="M41" s="5"/>
      <c r="N41" s="5"/>
      <c r="O41" s="5"/>
      <c r="P41" s="6" t="s">
        <v>13</v>
      </c>
      <c r="Q41" s="5" t="s">
        <v>17</v>
      </c>
      <c r="R41" s="6" t="s">
        <v>339</v>
      </c>
      <c r="S41" s="6" t="s">
        <v>369</v>
      </c>
      <c r="T41" s="6"/>
      <c r="U41" s="6"/>
      <c r="V41" s="6"/>
      <c r="W41" s="6"/>
      <c r="X41" s="5" t="str">
        <f t="shared" si="2"/>
        <v>/personnel/nerisa-lim.jpg</v>
      </c>
      <c r="Y41" s="6" t="s">
        <v>9</v>
      </c>
    </row>
    <row r="42" spans="1:25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10" t="s">
        <v>369</v>
      </c>
      <c r="J42" s="10"/>
      <c r="K42" s="10"/>
      <c r="L42" s="5"/>
      <c r="M42" s="5"/>
      <c r="N42" s="5"/>
      <c r="O42" s="5"/>
      <c r="P42" s="6" t="s">
        <v>13</v>
      </c>
      <c r="Q42" s="5" t="s">
        <v>17</v>
      </c>
      <c r="R42" s="6"/>
      <c r="S42" s="6" t="s">
        <v>369</v>
      </c>
      <c r="T42" s="6"/>
      <c r="U42" s="6"/>
      <c r="V42" s="6"/>
      <c r="W42" s="6"/>
      <c r="X42" s="5" t="str">
        <f t="shared" si="2"/>
        <v>/personnel/carl-loreto.jpg</v>
      </c>
      <c r="Y42" s="6" t="s">
        <v>9</v>
      </c>
    </row>
    <row r="43" spans="1:25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270</v>
      </c>
      <c r="I43" s="10" t="s">
        <v>382</v>
      </c>
      <c r="J43" s="10"/>
      <c r="K43" s="10"/>
      <c r="L43" s="5"/>
      <c r="M43" s="5"/>
      <c r="N43" s="5"/>
      <c r="O43" s="5"/>
      <c r="P43" s="6" t="s">
        <v>13</v>
      </c>
      <c r="Q43" s="5" t="s">
        <v>14</v>
      </c>
      <c r="R43" s="6"/>
      <c r="S43" s="6" t="s">
        <v>365</v>
      </c>
      <c r="T43" s="6"/>
      <c r="U43" s="6"/>
      <c r="V43" s="6"/>
      <c r="W43" s="6"/>
      <c r="X43" s="5" t="str">
        <f t="shared" si="2"/>
        <v>/personnel/lyka-mabanag.jpg</v>
      </c>
      <c r="Y43" s="6" t="s">
        <v>9</v>
      </c>
    </row>
    <row r="44" spans="1:25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250</v>
      </c>
      <c r="I44" s="10" t="s">
        <v>380</v>
      </c>
      <c r="J44" s="10"/>
      <c r="K44" s="10"/>
      <c r="L44" s="5" t="s">
        <v>333</v>
      </c>
      <c r="M44" s="5"/>
      <c r="N44" s="5"/>
      <c r="O44" s="5" t="s">
        <v>332</v>
      </c>
      <c r="P44" s="6" t="s">
        <v>13</v>
      </c>
      <c r="Q44" s="5" t="s">
        <v>14</v>
      </c>
      <c r="R44" s="6" t="s">
        <v>15</v>
      </c>
      <c r="S44" s="6" t="s">
        <v>365</v>
      </c>
      <c r="T44" s="6"/>
      <c r="U44" s="6"/>
      <c r="V44" s="6"/>
      <c r="W44" s="6"/>
      <c r="X44" s="5" t="str">
        <f t="shared" si="2"/>
        <v>/personnel/richie-ryan-mabunay.jpg</v>
      </c>
      <c r="Y44" s="6" t="s">
        <v>9</v>
      </c>
    </row>
    <row r="45" spans="1:25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16</v>
      </c>
      <c r="I45" s="10" t="s">
        <v>369</v>
      </c>
      <c r="J45" s="10"/>
      <c r="K45" s="10"/>
      <c r="L45" s="5"/>
      <c r="M45" s="5"/>
      <c r="N45" s="5"/>
      <c r="O45" s="5"/>
      <c r="P45" s="6" t="s">
        <v>13</v>
      </c>
      <c r="Q45" s="5" t="s">
        <v>17</v>
      </c>
      <c r="R45" s="6" t="s">
        <v>342</v>
      </c>
      <c r="S45" s="6" t="s">
        <v>369</v>
      </c>
      <c r="T45" s="6"/>
      <c r="U45" s="6"/>
      <c r="V45" s="6"/>
      <c r="W45" s="6"/>
      <c r="X45" s="5" t="str">
        <f t="shared" si="2"/>
        <v>/personnel/maria-jeziel-macanin.jpg</v>
      </c>
      <c r="Y45" s="6" t="s">
        <v>9</v>
      </c>
    </row>
    <row r="46" spans="1:25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10" t="s">
        <v>277</v>
      </c>
      <c r="J46" s="10" t="s">
        <v>354</v>
      </c>
      <c r="K46" s="10" t="s">
        <v>413</v>
      </c>
      <c r="L46" s="5"/>
      <c r="M46" s="5"/>
      <c r="N46" s="5"/>
      <c r="O46" s="5"/>
      <c r="P46" s="6" t="s">
        <v>13</v>
      </c>
      <c r="Q46" s="5" t="s">
        <v>17</v>
      </c>
      <c r="R46" s="6" t="s">
        <v>341</v>
      </c>
      <c r="S46" s="6" t="s">
        <v>277</v>
      </c>
      <c r="T46" s="6"/>
      <c r="U46" s="6"/>
      <c r="V46" s="6"/>
      <c r="W46" s="6"/>
      <c r="X46" s="5" t="str">
        <f t="shared" si="2"/>
        <v>/personnel/jeralen-maloloy-on.jpg</v>
      </c>
      <c r="Y46" s="6" t="s">
        <v>9</v>
      </c>
    </row>
    <row r="47" spans="1:25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10" t="s">
        <v>277</v>
      </c>
      <c r="J47" s="10" t="s">
        <v>352</v>
      </c>
      <c r="K47" s="10" t="s">
        <v>414</v>
      </c>
      <c r="L47" s="5"/>
      <c r="M47" s="5"/>
      <c r="N47" s="5"/>
      <c r="O47" s="5"/>
      <c r="P47" s="6" t="s">
        <v>13</v>
      </c>
      <c r="Q47" s="5" t="s">
        <v>17</v>
      </c>
      <c r="R47" s="6" t="s">
        <v>343</v>
      </c>
      <c r="S47" s="6" t="s">
        <v>369</v>
      </c>
      <c r="T47" s="6"/>
      <c r="U47" s="6"/>
      <c r="V47" s="6"/>
      <c r="W47" s="6"/>
      <c r="X47" s="5" t="str">
        <f t="shared" si="2"/>
        <v>/personnel/elbert-misterio.jpg</v>
      </c>
      <c r="Y47" s="6" t="s">
        <v>9</v>
      </c>
    </row>
    <row r="48" spans="1:25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10" t="s">
        <v>277</v>
      </c>
      <c r="J48" s="10" t="s">
        <v>353</v>
      </c>
      <c r="K48" s="10" t="s">
        <v>415</v>
      </c>
      <c r="L48" s="5"/>
      <c r="M48" s="5"/>
      <c r="N48" s="5"/>
      <c r="O48" s="5"/>
      <c r="P48" s="6" t="s">
        <v>13</v>
      </c>
      <c r="Q48" s="5" t="s">
        <v>17</v>
      </c>
      <c r="R48" s="6"/>
      <c r="S48" s="6" t="s">
        <v>277</v>
      </c>
      <c r="T48" s="6"/>
      <c r="U48" s="6"/>
      <c r="V48" s="6"/>
      <c r="W48" s="6"/>
      <c r="X48" s="5" t="str">
        <f t="shared" si="2"/>
        <v>/personnel/joy-mortal.jpg</v>
      </c>
      <c r="Y48" s="6" t="s">
        <v>9</v>
      </c>
    </row>
    <row r="49" spans="1:25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10" t="s">
        <v>369</v>
      </c>
      <c r="J49" s="10"/>
      <c r="K49" s="10"/>
      <c r="L49" s="5"/>
      <c r="M49" s="5"/>
      <c r="N49" s="5"/>
      <c r="O49" s="5"/>
      <c r="P49" s="6" t="s">
        <v>13</v>
      </c>
      <c r="Q49" s="5" t="s">
        <v>17</v>
      </c>
      <c r="R49" s="6"/>
      <c r="S49" s="6" t="s">
        <v>369</v>
      </c>
      <c r="T49" s="6"/>
      <c r="U49" s="6"/>
      <c r="V49" s="6"/>
      <c r="W49" s="6"/>
      <c r="X49" s="5" t="str">
        <f t="shared" si="2"/>
        <v>/personnel/claire-medillo.jpg</v>
      </c>
      <c r="Y49" s="6" t="s">
        <v>9</v>
      </c>
    </row>
    <row r="50" spans="1:25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10" t="s">
        <v>277</v>
      </c>
      <c r="J50" s="10" t="s">
        <v>352</v>
      </c>
      <c r="K50" s="10" t="s">
        <v>416</v>
      </c>
      <c r="L50" s="5"/>
      <c r="M50" s="5"/>
      <c r="N50" s="5"/>
      <c r="O50" s="5"/>
      <c r="P50" s="6" t="s">
        <v>13</v>
      </c>
      <c r="Q50" s="5" t="s">
        <v>17</v>
      </c>
      <c r="R50" s="6" t="s">
        <v>341</v>
      </c>
      <c r="S50" s="6" t="s">
        <v>277</v>
      </c>
      <c r="T50" s="6"/>
      <c r="U50" s="6"/>
      <c r="V50" s="6"/>
      <c r="W50" s="6"/>
      <c r="X50" s="5" t="str">
        <f t="shared" si="2"/>
        <v>/personnel/gwendolyn-olo.jpg</v>
      </c>
      <c r="Y50" s="6" t="s">
        <v>9</v>
      </c>
    </row>
    <row r="51" spans="1:25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10" t="s">
        <v>277</v>
      </c>
      <c r="J51" s="10" t="s">
        <v>355</v>
      </c>
      <c r="K51" s="10" t="s">
        <v>417</v>
      </c>
      <c r="L51" s="5"/>
      <c r="M51" s="5"/>
      <c r="N51" s="5"/>
      <c r="O51" s="5"/>
      <c r="P51" s="6" t="s">
        <v>13</v>
      </c>
      <c r="Q51" s="5" t="s">
        <v>17</v>
      </c>
      <c r="R51" s="6"/>
      <c r="S51" s="6" t="s">
        <v>277</v>
      </c>
      <c r="T51" s="6"/>
      <c r="U51" s="6"/>
      <c r="V51" s="6"/>
      <c r="W51" s="6"/>
      <c r="X51" s="5" t="str">
        <f t="shared" si="2"/>
        <v>/personnel/jay-neil-oro.jpg</v>
      </c>
      <c r="Y51" s="6" t="s">
        <v>9</v>
      </c>
    </row>
    <row r="52" spans="1:25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10" t="s">
        <v>277</v>
      </c>
      <c r="J52" s="10"/>
      <c r="K52" s="10"/>
      <c r="L52" s="5"/>
      <c r="M52" s="5"/>
      <c r="N52" s="5"/>
      <c r="O52" s="5"/>
      <c r="P52" s="6" t="s">
        <v>13</v>
      </c>
      <c r="Q52" s="5" t="s">
        <v>14</v>
      </c>
      <c r="R52" s="6" t="s">
        <v>390</v>
      </c>
      <c r="S52" s="6" t="s">
        <v>277</v>
      </c>
      <c r="T52" s="6"/>
      <c r="U52" s="6"/>
      <c r="V52" s="6"/>
      <c r="W52" s="6"/>
      <c r="X52" s="5" t="str">
        <f t="shared" si="2"/>
        <v>/personnel/glendale-orocay.jpg</v>
      </c>
      <c r="Y52" s="6" t="s">
        <v>9</v>
      </c>
    </row>
    <row r="53" spans="1:25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16</v>
      </c>
      <c r="I53" s="10" t="s">
        <v>277</v>
      </c>
      <c r="J53" s="10"/>
      <c r="K53" s="10"/>
      <c r="L53" s="5"/>
      <c r="M53" s="5"/>
      <c r="N53" s="5"/>
      <c r="O53" s="5"/>
      <c r="P53" s="6" t="s">
        <v>13</v>
      </c>
      <c r="Q53" s="5" t="s">
        <v>17</v>
      </c>
      <c r="R53" s="6" t="s">
        <v>385</v>
      </c>
      <c r="S53" s="6" t="s">
        <v>277</v>
      </c>
      <c r="T53" s="6"/>
      <c r="U53" s="6"/>
      <c r="V53" s="6"/>
      <c r="W53" s="6"/>
      <c r="X53" s="5" t="str">
        <f t="shared" si="2"/>
        <v>/personnel/marissa-pintuan.jpg</v>
      </c>
      <c r="Y53" s="6" t="s">
        <v>9</v>
      </c>
    </row>
    <row r="54" spans="1:25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10" t="s">
        <v>369</v>
      </c>
      <c r="J54" s="10"/>
      <c r="K54" s="10"/>
      <c r="L54" s="5"/>
      <c r="M54" s="5"/>
      <c r="N54" s="5"/>
      <c r="O54" s="5"/>
      <c r="P54" s="6" t="s">
        <v>13</v>
      </c>
      <c r="Q54" s="5" t="s">
        <v>17</v>
      </c>
      <c r="R54" s="6" t="s">
        <v>388</v>
      </c>
      <c r="S54" s="6" t="s">
        <v>369</v>
      </c>
      <c r="T54" s="6"/>
      <c r="U54" s="6"/>
      <c r="V54" s="6"/>
      <c r="W54" s="6"/>
      <c r="X54" s="5" t="str">
        <f t="shared" si="2"/>
        <v>/personnel/ma.-lourdes-prajes.jpg</v>
      </c>
      <c r="Y54" s="6" t="s">
        <v>9</v>
      </c>
    </row>
    <row r="55" spans="1:25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10" t="s">
        <v>277</v>
      </c>
      <c r="J55" s="10" t="s">
        <v>353</v>
      </c>
      <c r="K55" s="10" t="s">
        <v>418</v>
      </c>
      <c r="L55" s="5"/>
      <c r="M55" s="5"/>
      <c r="N55" s="5"/>
      <c r="O55" s="5"/>
      <c r="P55" s="6" t="s">
        <v>13</v>
      </c>
      <c r="Q55" s="5" t="s">
        <v>17</v>
      </c>
      <c r="R55" s="6"/>
      <c r="S55" s="6" t="s">
        <v>277</v>
      </c>
      <c r="T55" s="6"/>
      <c r="U55" s="6"/>
      <c r="V55" s="6"/>
      <c r="W55" s="6"/>
      <c r="X55" s="5" t="str">
        <f t="shared" si="2"/>
        <v>/personnel/bret-kalvin-primacio.jpg</v>
      </c>
      <c r="Y55" s="6" t="s">
        <v>9</v>
      </c>
    </row>
    <row r="56" spans="1:25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16</v>
      </c>
      <c r="I56" s="10" t="s">
        <v>369</v>
      </c>
      <c r="J56" s="10"/>
      <c r="K56" s="10"/>
      <c r="L56" s="5"/>
      <c r="M56" s="5"/>
      <c r="N56" s="5"/>
      <c r="O56" s="5"/>
      <c r="P56" s="6" t="s">
        <v>13</v>
      </c>
      <c r="Q56" s="5" t="s">
        <v>17</v>
      </c>
      <c r="R56" s="6" t="s">
        <v>334</v>
      </c>
      <c r="S56" s="6" t="s">
        <v>369</v>
      </c>
      <c r="T56" s="6"/>
      <c r="U56" s="6"/>
      <c r="V56" s="6"/>
      <c r="W56" s="6"/>
      <c r="X56" s="5" t="str">
        <f t="shared" si="2"/>
        <v>/personnel/jhea-quiling.jpg</v>
      </c>
      <c r="Y56" s="6" t="s">
        <v>9</v>
      </c>
    </row>
    <row r="57" spans="1:25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10" t="s">
        <v>369</v>
      </c>
      <c r="J57" s="10"/>
      <c r="K57" s="10"/>
      <c r="L57" s="5"/>
      <c r="M57" s="5"/>
      <c r="N57" s="5"/>
      <c r="O57" s="5"/>
      <c r="P57" s="6" t="s">
        <v>13</v>
      </c>
      <c r="Q57" s="5" t="s">
        <v>17</v>
      </c>
      <c r="R57" s="6" t="s">
        <v>342</v>
      </c>
      <c r="S57" s="6" t="s">
        <v>369</v>
      </c>
      <c r="T57" s="6"/>
      <c r="U57" s="6"/>
      <c r="V57" s="6"/>
      <c r="W57" s="6"/>
      <c r="X57" s="5" t="str">
        <f t="shared" si="2"/>
        <v>/personnel/joyce-racaza.jpg</v>
      </c>
      <c r="Y57" s="6" t="s">
        <v>9</v>
      </c>
    </row>
    <row r="58" spans="1:25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10" t="s">
        <v>369</v>
      </c>
      <c r="J58" s="10"/>
      <c r="K58" s="10"/>
      <c r="L58" s="5"/>
      <c r="M58" s="5"/>
      <c r="N58" s="5"/>
      <c r="O58" s="5"/>
      <c r="P58" s="6" t="s">
        <v>13</v>
      </c>
      <c r="Q58" s="5" t="s">
        <v>17</v>
      </c>
      <c r="R58" s="6" t="s">
        <v>344</v>
      </c>
      <c r="S58" s="6" t="s">
        <v>369</v>
      </c>
      <c r="T58" s="6"/>
      <c r="U58" s="6"/>
      <c r="V58" s="6"/>
      <c r="W58" s="6"/>
      <c r="X58" s="5" t="str">
        <f t="shared" si="2"/>
        <v>/personnel/cromwell-retuya.jpg</v>
      </c>
      <c r="Y58" s="6" t="s">
        <v>9</v>
      </c>
    </row>
    <row r="59" spans="1:25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10" t="s">
        <v>392</v>
      </c>
      <c r="J59" s="10"/>
      <c r="K59" s="10"/>
      <c r="L59" s="5"/>
      <c r="M59" s="5"/>
      <c r="N59" s="5"/>
      <c r="O59" s="5"/>
      <c r="P59" s="6" t="s">
        <v>13</v>
      </c>
      <c r="Q59" s="5" t="s">
        <v>17</v>
      </c>
      <c r="R59" s="6" t="s">
        <v>385</v>
      </c>
      <c r="S59" s="6" t="s">
        <v>367</v>
      </c>
      <c r="T59" s="6"/>
      <c r="U59" s="6"/>
      <c r="V59" s="6">
        <v>5</v>
      </c>
      <c r="W59" s="6"/>
      <c r="X59" s="5" t="str">
        <f t="shared" si="2"/>
        <v>/personnel/nancy-reyes.jpg</v>
      </c>
      <c r="Y59" s="6" t="s">
        <v>9</v>
      </c>
    </row>
    <row r="60" spans="1:25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10" t="s">
        <v>277</v>
      </c>
      <c r="J60" s="10" t="s">
        <v>354</v>
      </c>
      <c r="K60" s="10" t="s">
        <v>419</v>
      </c>
      <c r="L60" s="5"/>
      <c r="M60" s="5"/>
      <c r="N60" s="5"/>
      <c r="O60" s="5"/>
      <c r="P60" s="6" t="s">
        <v>13</v>
      </c>
      <c r="Q60" s="5" t="s">
        <v>17</v>
      </c>
      <c r="R60" s="6"/>
      <c r="S60" s="6" t="s">
        <v>277</v>
      </c>
      <c r="T60" s="6"/>
      <c r="U60" s="6"/>
      <c r="V60" s="6"/>
      <c r="W60" s="6"/>
      <c r="X60" s="5" t="str">
        <f t="shared" si="2"/>
        <v>/personnel/angelo-saavedra.jpg</v>
      </c>
      <c r="Y60" s="6" t="s">
        <v>9</v>
      </c>
    </row>
    <row r="61" spans="1:25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244</v>
      </c>
      <c r="I61" s="10" t="s">
        <v>395</v>
      </c>
      <c r="J61" s="10"/>
      <c r="K61" s="10"/>
      <c r="L61" s="5"/>
      <c r="M61" s="5"/>
      <c r="N61" s="5"/>
      <c r="O61" s="5"/>
      <c r="P61" s="6" t="s">
        <v>13</v>
      </c>
      <c r="Q61" s="5" t="s">
        <v>17</v>
      </c>
      <c r="R61" s="6" t="s">
        <v>391</v>
      </c>
      <c r="S61" s="6" t="s">
        <v>365</v>
      </c>
      <c r="T61" s="6"/>
      <c r="U61" s="6"/>
      <c r="V61" s="6"/>
      <c r="W61" s="6"/>
      <c r="X61" s="5" t="str">
        <f t="shared" si="2"/>
        <v>/personnel/brendel-sacaris.jpg</v>
      </c>
      <c r="Y61" s="6" t="s">
        <v>9</v>
      </c>
    </row>
    <row r="62" spans="1:25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10" t="s">
        <v>277</v>
      </c>
      <c r="J62" s="10" t="s">
        <v>354</v>
      </c>
      <c r="K62" s="10" t="s">
        <v>420</v>
      </c>
      <c r="L62" s="5"/>
      <c r="M62" s="5"/>
      <c r="N62" s="5"/>
      <c r="O62" s="5"/>
      <c r="P62" s="6" t="s">
        <v>13</v>
      </c>
      <c r="Q62" s="5" t="s">
        <v>17</v>
      </c>
      <c r="R62" s="6"/>
      <c r="S62" s="6" t="s">
        <v>277</v>
      </c>
      <c r="T62" s="6"/>
      <c r="U62" s="6"/>
      <c r="V62" s="6"/>
      <c r="W62" s="6"/>
      <c r="X62" s="5" t="str">
        <f>"/personnel/"&amp;LOWER(SUBSTITUTE(TRIM(C62&amp;" "&amp;B62)," ","-"))&amp;".jpg"</f>
        <v>/personnel/bella-arquine-samontañez.jpg</v>
      </c>
      <c r="Y62" s="6" t="s">
        <v>9</v>
      </c>
    </row>
    <row r="63" spans="1:25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249</v>
      </c>
      <c r="I63" s="10" t="s">
        <v>277</v>
      </c>
      <c r="J63" s="10"/>
      <c r="K63" s="10"/>
      <c r="L63" s="5"/>
      <c r="M63" s="5"/>
      <c r="N63" s="5"/>
      <c r="O63" s="5"/>
      <c r="P63" s="6" t="s">
        <v>13</v>
      </c>
      <c r="Q63" s="5" t="s">
        <v>14</v>
      </c>
      <c r="R63" s="6" t="s">
        <v>334</v>
      </c>
      <c r="S63" s="6" t="s">
        <v>277</v>
      </c>
      <c r="T63" s="6"/>
      <c r="U63" s="6"/>
      <c r="V63" s="6"/>
      <c r="W63" s="6"/>
      <c r="X63" s="5" t="str">
        <f t="shared" si="2"/>
        <v>/personnel/jevy-ann-uy.jpg</v>
      </c>
      <c r="Y63" s="6" t="s">
        <v>9</v>
      </c>
    </row>
    <row r="64" spans="1:25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10" t="s">
        <v>381</v>
      </c>
      <c r="J64" s="10"/>
      <c r="K64" s="10"/>
      <c r="L64" s="5"/>
      <c r="M64" s="5"/>
      <c r="N64" s="5"/>
      <c r="O64" s="5"/>
      <c r="P64" s="6" t="s">
        <v>13</v>
      </c>
      <c r="Q64" s="5" t="s">
        <v>17</v>
      </c>
      <c r="R64" s="6" t="s">
        <v>342</v>
      </c>
      <c r="S64" s="6" t="s">
        <v>365</v>
      </c>
      <c r="T64" s="6"/>
      <c r="U64" s="6"/>
      <c r="V64" s="6"/>
      <c r="W64" s="6"/>
      <c r="X64" s="5" t="str">
        <f t="shared" si="2"/>
        <v>/personnel/grace-vergara.jpg</v>
      </c>
      <c r="Y64" s="6" t="s">
        <v>9</v>
      </c>
    </row>
    <row r="65" spans="1:25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10" t="s">
        <v>271</v>
      </c>
      <c r="J65" s="10"/>
      <c r="K65" s="10"/>
      <c r="L65" s="5"/>
      <c r="M65" s="5"/>
      <c r="N65" s="5"/>
      <c r="O65" s="5"/>
      <c r="P65" s="6" t="s">
        <v>7</v>
      </c>
      <c r="Q65" s="5" t="s">
        <v>7</v>
      </c>
      <c r="R65" s="6" t="s">
        <v>387</v>
      </c>
      <c r="S65" s="6" t="s">
        <v>271</v>
      </c>
      <c r="T65" s="6"/>
      <c r="U65" s="6"/>
      <c r="V65" s="6"/>
      <c r="W65" s="6"/>
      <c r="X65" s="5" t="str">
        <f t="shared" si="2"/>
        <v>/personnel/guillermo-villavelez.jpg</v>
      </c>
      <c r="Y65" s="6" t="s">
        <v>9</v>
      </c>
    </row>
    <row r="66" spans="1:25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10" t="s">
        <v>369</v>
      </c>
      <c r="J66" s="10"/>
      <c r="K66" s="10"/>
      <c r="L66" s="5"/>
      <c r="M66" s="5"/>
      <c r="N66" s="5"/>
      <c r="O66" s="5"/>
      <c r="P66" s="6" t="s">
        <v>13</v>
      </c>
      <c r="Q66" s="5" t="s">
        <v>14</v>
      </c>
      <c r="R66" s="6" t="s">
        <v>339</v>
      </c>
      <c r="S66" s="6" t="s">
        <v>369</v>
      </c>
      <c r="T66" s="6"/>
      <c r="U66" s="6"/>
      <c r="V66" s="6"/>
      <c r="W66" s="6"/>
      <c r="X66" s="5" t="str">
        <f t="shared" si="2"/>
        <v>/personnel/marilou-villaver.jpg</v>
      </c>
      <c r="Y66" s="6" t="s">
        <v>9</v>
      </c>
    </row>
    <row r="67" spans="1:25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10" t="s">
        <v>370</v>
      </c>
      <c r="J67" s="10"/>
      <c r="K67" s="10"/>
      <c r="L67" s="5"/>
      <c r="M67" s="5"/>
      <c r="N67" s="5"/>
      <c r="O67" s="5"/>
      <c r="P67" s="6" t="s">
        <v>372</v>
      </c>
      <c r="Q67" s="5" t="s">
        <v>371</v>
      </c>
      <c r="R67" s="6" t="s">
        <v>387</v>
      </c>
      <c r="S67" s="6" t="s">
        <v>370</v>
      </c>
      <c r="T67" s="6"/>
      <c r="U67" s="6"/>
      <c r="V67" s="6"/>
      <c r="W67" s="6"/>
      <c r="X67" s="5" t="str">
        <f t="shared" ref="X67:X68" si="8">"/personnel/"&amp;LOWER(SUBSTITUTE(TRIM(C67&amp;" "&amp;B67)," ","-"))&amp;".jpg"</f>
        <v>/personnel/markjil-bacaltos.jpg</v>
      </c>
      <c r="Y67" s="6" t="s">
        <v>9</v>
      </c>
    </row>
    <row r="68" spans="1:25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10" t="s">
        <v>370</v>
      </c>
      <c r="J68" s="10"/>
      <c r="K68" s="10"/>
      <c r="L68" s="5"/>
      <c r="M68" s="5"/>
      <c r="N68" s="5"/>
      <c r="O68" s="5"/>
      <c r="P68" s="6" t="s">
        <v>372</v>
      </c>
      <c r="Q68" s="5" t="s">
        <v>371</v>
      </c>
      <c r="R68" s="6" t="s">
        <v>387</v>
      </c>
      <c r="S68" s="6" t="s">
        <v>370</v>
      </c>
      <c r="T68" s="6"/>
      <c r="U68" s="6"/>
      <c r="V68" s="6"/>
      <c r="W68" s="6"/>
      <c r="X68" s="5" t="str">
        <f t="shared" si="8"/>
        <v>/personnel/diocel-celocia.jpg</v>
      </c>
      <c r="Y68" s="6" t="s">
        <v>9</v>
      </c>
    </row>
    <row r="69" spans="1:25">
      <c r="A69" s="5">
        <v>68</v>
      </c>
      <c r="B69" s="5" t="s">
        <v>373</v>
      </c>
      <c r="C69" s="5" t="s">
        <v>376</v>
      </c>
      <c r="D69" s="5" t="s">
        <v>198</v>
      </c>
      <c r="E69" s="5" t="str">
        <f t="shared" si="6"/>
        <v>B.</v>
      </c>
      <c r="F69" s="5"/>
      <c r="G69" s="5" t="str">
        <f t="shared" ref="G69:G70" si="10">TRIM(_xlfn.TEXTJOIN(" ",TRUE,C69,IF(E69&lt;&gt;"",IF(RIGHT(E69,1)=".",E69,E69&amp;"."),D69),B69,F69))</f>
        <v>Luie B. Cabs</v>
      </c>
      <c r="H69" s="5" t="s">
        <v>267</v>
      </c>
      <c r="I69" s="10" t="s">
        <v>370</v>
      </c>
      <c r="J69" s="10"/>
      <c r="K69" s="10"/>
      <c r="L69" s="5"/>
      <c r="M69" s="5"/>
      <c r="N69" s="5"/>
      <c r="O69" s="5"/>
      <c r="P69" s="6" t="s">
        <v>240</v>
      </c>
      <c r="Q69" s="5" t="s">
        <v>371</v>
      </c>
      <c r="R69" s="6" t="s">
        <v>387</v>
      </c>
      <c r="S69" s="6" t="s">
        <v>370</v>
      </c>
      <c r="T69" s="6"/>
      <c r="U69" s="6"/>
      <c r="V69" s="6"/>
      <c r="W69" s="6"/>
      <c r="X69" s="5" t="str">
        <f t="shared" ref="X69:X70" si="11">"/personnel/"&amp;LOWER(SUBSTITUTE(TRIM(C69&amp;" "&amp;B69)," ","-"))&amp;".jpg"</f>
        <v>/personnel/luie-cabs.jpg</v>
      </c>
      <c r="Y69" s="6" t="s">
        <v>9</v>
      </c>
    </row>
    <row r="70" spans="1:25">
      <c r="A70" s="5">
        <v>69</v>
      </c>
      <c r="B70" s="5" t="s">
        <v>374</v>
      </c>
      <c r="C70" s="5" t="s">
        <v>375</v>
      </c>
      <c r="D70" s="5" t="s">
        <v>198</v>
      </c>
      <c r="E70" s="5" t="str">
        <f t="shared" si="6"/>
        <v>B.</v>
      </c>
      <c r="F70" s="5"/>
      <c r="G70" s="5" t="str">
        <f t="shared" si="10"/>
        <v>Luis B. Mans</v>
      </c>
      <c r="H70" s="5" t="s">
        <v>267</v>
      </c>
      <c r="I70" s="10" t="s">
        <v>370</v>
      </c>
      <c r="J70" s="10"/>
      <c r="K70" s="10"/>
      <c r="L70" s="5"/>
      <c r="M70" s="5"/>
      <c r="N70" s="5"/>
      <c r="O70" s="5"/>
      <c r="P70" s="6" t="s">
        <v>240</v>
      </c>
      <c r="Q70" s="5" t="s">
        <v>371</v>
      </c>
      <c r="R70" s="6" t="s">
        <v>387</v>
      </c>
      <c r="S70" s="6" t="s">
        <v>370</v>
      </c>
      <c r="T70" s="6"/>
      <c r="U70" s="6"/>
      <c r="V70" s="6"/>
      <c r="W70" s="6"/>
      <c r="X70" s="5" t="str">
        <f t="shared" si="11"/>
        <v>/personnel/luis-mans.jpg</v>
      </c>
      <c r="Y70" s="6" t="s">
        <v>9</v>
      </c>
    </row>
    <row r="71" spans="1:25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9"/>
      <c r="J71" s="9"/>
      <c r="K71" s="9"/>
      <c r="L71" s="5"/>
      <c r="M71" s="5"/>
      <c r="N71" s="5"/>
      <c r="O71" s="5"/>
      <c r="P71" s="6"/>
      <c r="Q71" s="5"/>
      <c r="R71" s="6"/>
      <c r="S71" s="6"/>
      <c r="T71" s="6"/>
      <c r="U71" s="6"/>
      <c r="V71" s="6"/>
      <c r="W71" s="6"/>
      <c r="X71" s="5"/>
      <c r="Y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P71</xm:sqref>
        </x14:dataValidation>
        <x14:dataValidation type="list" xr:uid="{F197BE03-BA33-43F0-8353-14B37878E191}">
          <x14:formula1>
            <xm:f>Dropdown_Lists!$A$2:$A$6</xm:f>
          </x14:formula1>
          <xm:sqref>P2:P70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Y2:Y71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S2:S71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T2:T71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324</v>
      </c>
      <c r="D1" s="1" t="s">
        <v>360</v>
      </c>
      <c r="E1" s="1" t="s">
        <v>335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271</v>
      </c>
      <c r="D2" t="s">
        <v>271</v>
      </c>
      <c r="E2" t="s">
        <v>336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272</v>
      </c>
      <c r="D3" t="s">
        <v>364</v>
      </c>
      <c r="E3" t="s">
        <v>337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273</v>
      </c>
      <c r="D4" t="s">
        <v>365</v>
      </c>
      <c r="E4" t="s">
        <v>338</v>
      </c>
      <c r="F4" t="s">
        <v>23</v>
      </c>
      <c r="G4" t="s">
        <v>22</v>
      </c>
    </row>
    <row r="5" spans="1:7">
      <c r="A5" t="s">
        <v>372</v>
      </c>
      <c r="B5" t="s">
        <v>242</v>
      </c>
      <c r="C5" t="s">
        <v>274</v>
      </c>
      <c r="D5" t="s">
        <v>366</v>
      </c>
      <c r="E5" t="s">
        <v>334</v>
      </c>
      <c r="G5" t="s">
        <v>24</v>
      </c>
    </row>
    <row r="6" spans="1:7">
      <c r="A6" t="s">
        <v>240</v>
      </c>
      <c r="B6" t="s">
        <v>243</v>
      </c>
      <c r="C6" t="s">
        <v>275</v>
      </c>
      <c r="D6" t="s">
        <v>367</v>
      </c>
      <c r="E6" t="s">
        <v>339</v>
      </c>
    </row>
    <row r="7" spans="1:7">
      <c r="B7" t="s">
        <v>244</v>
      </c>
      <c r="C7" t="s">
        <v>276</v>
      </c>
      <c r="D7" t="s">
        <v>368</v>
      </c>
      <c r="E7" t="s">
        <v>340</v>
      </c>
    </row>
    <row r="8" spans="1:7">
      <c r="B8" t="s">
        <v>245</v>
      </c>
      <c r="C8" t="s">
        <v>331</v>
      </c>
      <c r="D8" t="s">
        <v>369</v>
      </c>
      <c r="E8" t="s">
        <v>341</v>
      </c>
    </row>
    <row r="9" spans="1:7">
      <c r="B9" t="s">
        <v>270</v>
      </c>
      <c r="C9" t="s">
        <v>327</v>
      </c>
      <c r="D9" t="s">
        <v>370</v>
      </c>
      <c r="E9" t="s">
        <v>342</v>
      </c>
    </row>
    <row r="10" spans="1:7">
      <c r="B10" t="s">
        <v>249</v>
      </c>
      <c r="C10" t="s">
        <v>328</v>
      </c>
      <c r="E10" t="s">
        <v>343</v>
      </c>
    </row>
    <row r="11" spans="1:7">
      <c r="B11" t="s">
        <v>250</v>
      </c>
      <c r="C11" t="s">
        <v>329</v>
      </c>
      <c r="E11" t="s">
        <v>344</v>
      </c>
    </row>
    <row r="12" spans="1:7">
      <c r="B12" t="s">
        <v>251</v>
      </c>
      <c r="C12" t="s">
        <v>330</v>
      </c>
      <c r="E12" t="s">
        <v>345</v>
      </c>
    </row>
    <row r="13" spans="1:7">
      <c r="B13" t="s">
        <v>252</v>
      </c>
      <c r="C13" t="s">
        <v>277</v>
      </c>
      <c r="E13" t="s">
        <v>346</v>
      </c>
    </row>
    <row r="14" spans="1:7">
      <c r="B14" t="s">
        <v>253</v>
      </c>
      <c r="E14" t="s">
        <v>347</v>
      </c>
    </row>
    <row r="15" spans="1:7">
      <c r="B15" t="s">
        <v>254</v>
      </c>
      <c r="E15" t="s">
        <v>348</v>
      </c>
    </row>
    <row r="16" spans="1:7">
      <c r="B16" t="s">
        <v>10</v>
      </c>
      <c r="C16" t="s">
        <v>278</v>
      </c>
      <c r="E16" t="s">
        <v>349</v>
      </c>
    </row>
    <row r="17" spans="2:5">
      <c r="B17" t="s">
        <v>246</v>
      </c>
      <c r="C17" t="s">
        <v>279</v>
      </c>
      <c r="E17" t="s">
        <v>350</v>
      </c>
    </row>
    <row r="18" spans="2:5">
      <c r="B18" t="s">
        <v>247</v>
      </c>
      <c r="C18" t="s">
        <v>280</v>
      </c>
      <c r="E18" t="s">
        <v>351</v>
      </c>
    </row>
    <row r="19" spans="2:5">
      <c r="B19" t="s">
        <v>248</v>
      </c>
      <c r="C19" t="s">
        <v>281</v>
      </c>
      <c r="E19" t="s">
        <v>352</v>
      </c>
    </row>
    <row r="20" spans="2:5">
      <c r="B20" t="s">
        <v>255</v>
      </c>
      <c r="C20" t="s">
        <v>282</v>
      </c>
      <c r="E20" t="s">
        <v>353</v>
      </c>
    </row>
    <row r="21" spans="2:5">
      <c r="B21" t="s">
        <v>256</v>
      </c>
      <c r="C21" t="s">
        <v>283</v>
      </c>
      <c r="E21" t="s">
        <v>354</v>
      </c>
    </row>
    <row r="22" spans="2:5">
      <c r="B22" t="s">
        <v>257</v>
      </c>
      <c r="C22" t="s">
        <v>284</v>
      </c>
      <c r="E22" t="s">
        <v>355</v>
      </c>
    </row>
    <row r="23" spans="2:5">
      <c r="B23" t="s">
        <v>258</v>
      </c>
      <c r="C23" t="s">
        <v>285</v>
      </c>
      <c r="E23" t="s">
        <v>356</v>
      </c>
    </row>
    <row r="24" spans="2:5">
      <c r="B24" t="s">
        <v>259</v>
      </c>
      <c r="C24" t="s">
        <v>286</v>
      </c>
      <c r="E24" t="s">
        <v>357</v>
      </c>
    </row>
    <row r="25" spans="2:5">
      <c r="B25" t="s">
        <v>239</v>
      </c>
      <c r="C25" t="s">
        <v>287</v>
      </c>
    </row>
    <row r="26" spans="2:5">
      <c r="B26" t="s">
        <v>260</v>
      </c>
      <c r="C26" t="s">
        <v>288</v>
      </c>
    </row>
    <row r="27" spans="2:5">
      <c r="B27" t="s">
        <v>261</v>
      </c>
      <c r="C27" t="s">
        <v>289</v>
      </c>
    </row>
    <row r="28" spans="2:5">
      <c r="B28" t="s">
        <v>262</v>
      </c>
      <c r="C28" t="s">
        <v>290</v>
      </c>
    </row>
    <row r="29" spans="2:5">
      <c r="B29" t="s">
        <v>263</v>
      </c>
      <c r="C29" t="s">
        <v>291</v>
      </c>
    </row>
    <row r="30" spans="2:5">
      <c r="B30" t="s">
        <v>264</v>
      </c>
      <c r="C30" t="s">
        <v>292</v>
      </c>
    </row>
    <row r="31" spans="2:5">
      <c r="B31" t="s">
        <v>265</v>
      </c>
      <c r="C31" t="s">
        <v>293</v>
      </c>
    </row>
    <row r="32" spans="2:5">
      <c r="B32" t="s">
        <v>266</v>
      </c>
      <c r="C32" t="s">
        <v>294</v>
      </c>
    </row>
    <row r="33" spans="2:3">
      <c r="B33" t="s">
        <v>267</v>
      </c>
      <c r="C33" t="s">
        <v>295</v>
      </c>
    </row>
    <row r="34" spans="2:3">
      <c r="B34" t="s">
        <v>268</v>
      </c>
      <c r="C34" t="s">
        <v>296</v>
      </c>
    </row>
    <row r="35" spans="2:3">
      <c r="B35" t="s">
        <v>269</v>
      </c>
      <c r="C35" t="s">
        <v>297</v>
      </c>
    </row>
    <row r="36" spans="2:3">
      <c r="C36" t="s">
        <v>298</v>
      </c>
    </row>
    <row r="37" spans="2:3">
      <c r="C37" t="s">
        <v>299</v>
      </c>
    </row>
    <row r="38" spans="2:3">
      <c r="C38" t="s">
        <v>300</v>
      </c>
    </row>
    <row r="39" spans="2:3">
      <c r="C39" t="s">
        <v>301</v>
      </c>
    </row>
    <row r="40" spans="2:3">
      <c r="C40" t="s">
        <v>302</v>
      </c>
    </row>
    <row r="41" spans="2:3">
      <c r="C41" t="s">
        <v>303</v>
      </c>
    </row>
    <row r="42" spans="2:3">
      <c r="C42" t="s">
        <v>304</v>
      </c>
    </row>
    <row r="43" spans="2:3">
      <c r="C43" t="s">
        <v>305</v>
      </c>
    </row>
    <row r="44" spans="2:3">
      <c r="C44" t="s">
        <v>306</v>
      </c>
    </row>
    <row r="45" spans="2:3">
      <c r="C45" t="s">
        <v>307</v>
      </c>
    </row>
    <row r="46" spans="2:3">
      <c r="C46" t="s">
        <v>308</v>
      </c>
    </row>
    <row r="47" spans="2:3">
      <c r="C47" t="s">
        <v>309</v>
      </c>
    </row>
    <row r="48" spans="2:3">
      <c r="C48" t="s">
        <v>310</v>
      </c>
    </row>
    <row r="49" spans="3:3">
      <c r="C49" t="s">
        <v>311</v>
      </c>
    </row>
    <row r="50" spans="3:3">
      <c r="C50" t="s">
        <v>312</v>
      </c>
    </row>
    <row r="51" spans="3:3">
      <c r="C51" t="s">
        <v>313</v>
      </c>
    </row>
    <row r="52" spans="3:3">
      <c r="C52" t="s">
        <v>314</v>
      </c>
    </row>
    <row r="53" spans="3:3">
      <c r="C53" t="s">
        <v>315</v>
      </c>
    </row>
    <row r="54" spans="3:3">
      <c r="C54" t="s">
        <v>316</v>
      </c>
    </row>
    <row r="55" spans="3:3">
      <c r="C55" t="s">
        <v>317</v>
      </c>
    </row>
    <row r="56" spans="3:3">
      <c r="C56" t="s">
        <v>318</v>
      </c>
    </row>
    <row r="57" spans="3:3">
      <c r="C57" t="s">
        <v>319</v>
      </c>
    </row>
    <row r="58" spans="3:3">
      <c r="C58" t="s">
        <v>320</v>
      </c>
    </row>
    <row r="59" spans="3:3">
      <c r="C59" t="s">
        <v>321</v>
      </c>
    </row>
    <row r="60" spans="3:3">
      <c r="C60" t="s">
        <v>322</v>
      </c>
    </row>
    <row r="61" spans="3:3">
      <c r="C61" t="s">
        <v>323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2026-05-28T12:19:11Z</dcterms:modified>
</cp:coreProperties>
</file>